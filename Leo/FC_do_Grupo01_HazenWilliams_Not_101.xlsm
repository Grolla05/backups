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elipe\Downloads\"/>
    </mc:Choice>
  </mc:AlternateContent>
  <xr:revisionPtr revIDLastSave="0" documentId="13_ncr:1_{7FC8C855-48A2-4B4E-9F57-C3E71FB0F3E8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imensionamento" sheetId="1" r:id="rId1"/>
    <sheet name="VerificarPressao" sheetId="2" r:id="rId2"/>
    <sheet name="Reservatório" sheetId="4" r:id="rId3"/>
    <sheet name="Auxiliar" sheetId="5" r:id="rId4"/>
  </sheets>
  <externalReferences>
    <externalReference r:id="rId5"/>
  </externalReferences>
  <definedNames>
    <definedName name="_xlnm._FilterDatabase" localSheetId="0" hidden="1">Dimensionamento!$A$6:$T$129</definedName>
    <definedName name="_xleta.VLOOKUP" hidden="1" xlm="1">#NAME?</definedName>
    <definedName name="_xlnm.Print_Area" localSheetId="0">Dimensionamento!$A$1:$T$22</definedName>
    <definedName name="TFOFO" localSheetId="2">'[1]Dimensionamento '!#REF!</definedName>
    <definedName name="TFOFO">Dimensionamento!#REF!</definedName>
    <definedName name="_xlnm.Print_Titles" localSheetId="0">Dimensionamento!$1:$5</definedName>
    <definedName name="TPVC" localSheetId="2">'[1]Dimensionamento '!#REF!</definedName>
    <definedName name="TPVC">Dimensionamento!#REF!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D75" i="1" a="1"/>
  <c r="D75" i="1" s="1"/>
  <c r="D129" i="1" l="1" a="1"/>
  <c r="D129" i="1" s="1"/>
  <c r="D128" i="1" a="1"/>
  <c r="D128" i="1" s="1"/>
  <c r="D127" i="1" a="1"/>
  <c r="D127" i="1" s="1"/>
  <c r="D126" i="1" a="1"/>
  <c r="D126" i="1" s="1"/>
  <c r="D125" i="1" a="1"/>
  <c r="D125" i="1" s="1"/>
  <c r="D124" i="1" a="1"/>
  <c r="D124" i="1" s="1"/>
  <c r="D123" i="1" a="1"/>
  <c r="D123" i="1" s="1"/>
  <c r="D122" i="1" a="1"/>
  <c r="D122" i="1" s="1"/>
  <c r="D121" i="1" a="1"/>
  <c r="D121" i="1" s="1"/>
  <c r="D120" i="1" a="1"/>
  <c r="D120" i="1" s="1"/>
  <c r="D119" i="1" a="1"/>
  <c r="D119" i="1" s="1"/>
  <c r="D118" i="1" a="1"/>
  <c r="D118" i="1" s="1"/>
  <c r="D117" i="1" a="1"/>
  <c r="D117" i="1" s="1"/>
  <c r="D116" i="1" a="1"/>
  <c r="D116" i="1" s="1"/>
  <c r="D115" i="1" a="1"/>
  <c r="D115" i="1" s="1"/>
  <c r="D114" i="1" a="1"/>
  <c r="D114" i="1" s="1"/>
  <c r="D113" i="1" a="1"/>
  <c r="D113" i="1" s="1"/>
  <c r="D112" i="1" a="1"/>
  <c r="D112" i="1" s="1"/>
  <c r="D111" i="1" a="1"/>
  <c r="D111" i="1"/>
  <c r="D110" i="1" a="1"/>
  <c r="D110" i="1" s="1"/>
  <c r="D109" i="1" a="1"/>
  <c r="D109" i="1" s="1"/>
  <c r="D108" i="1" a="1"/>
  <c r="D108" i="1" s="1"/>
  <c r="D107" i="1" a="1"/>
  <c r="D107" i="1" s="1"/>
  <c r="D106" i="1" a="1"/>
  <c r="D106" i="1" s="1"/>
  <c r="D105" i="1" a="1"/>
  <c r="D105" i="1" s="1"/>
  <c r="D104" i="1" a="1"/>
  <c r="D104" i="1" s="1"/>
  <c r="D103" i="1" a="1"/>
  <c r="D103" i="1" s="1"/>
  <c r="D102" i="1" a="1"/>
  <c r="D102" i="1" s="1"/>
  <c r="D101" i="1" a="1"/>
  <c r="D101" i="1" s="1"/>
  <c r="D100" i="1" a="1"/>
  <c r="D100" i="1" s="1"/>
  <c r="D99" i="1" a="1"/>
  <c r="D99" i="1" s="1"/>
  <c r="D98" i="1" a="1"/>
  <c r="D98" i="1" s="1"/>
  <c r="D97" i="1" a="1"/>
  <c r="D97" i="1" s="1"/>
  <c r="D96" i="1" a="1"/>
  <c r="D96" i="1" s="1"/>
  <c r="D95" i="1" a="1"/>
  <c r="D95" i="1" s="1"/>
  <c r="D94" i="1" a="1"/>
  <c r="D94" i="1" s="1"/>
  <c r="D93" i="1" a="1"/>
  <c r="D93" i="1" s="1"/>
  <c r="D92" i="1" a="1"/>
  <c r="D92" i="1" s="1"/>
  <c r="D91" i="1" a="1"/>
  <c r="D91" i="1" s="1"/>
  <c r="D90" i="1" a="1"/>
  <c r="D90" i="1" s="1"/>
  <c r="D89" i="1" a="1"/>
  <c r="D89" i="1" s="1"/>
  <c r="D88" i="1" a="1"/>
  <c r="D88" i="1" s="1"/>
  <c r="D87" i="1" a="1"/>
  <c r="D87" i="1" s="1"/>
  <c r="D86" i="1" a="1"/>
  <c r="D86" i="1" s="1"/>
  <c r="D85" i="1" a="1"/>
  <c r="D85" i="1" s="1"/>
  <c r="D84" i="1" a="1"/>
  <c r="D84" i="1" s="1"/>
  <c r="D83" i="1" a="1"/>
  <c r="D83" i="1" s="1"/>
  <c r="D82" i="1" a="1"/>
  <c r="D82" i="1" s="1"/>
  <c r="D81" i="1" a="1"/>
  <c r="D81" i="1" s="1"/>
  <c r="D80" i="1" a="1"/>
  <c r="D80" i="1" s="1"/>
  <c r="D79" i="1" a="1"/>
  <c r="D79" i="1" s="1"/>
  <c r="D78" i="1" a="1"/>
  <c r="D78" i="1" s="1"/>
  <c r="D77" i="1" a="1"/>
  <c r="D77" i="1" s="1"/>
  <c r="D76" i="1" a="1"/>
  <c r="D76" i="1" s="1"/>
  <c r="D74" i="1" a="1"/>
  <c r="D74" i="1" s="1"/>
  <c r="D73" i="1" a="1"/>
  <c r="D73" i="1" s="1"/>
  <c r="D72" i="1" a="1"/>
  <c r="D72" i="1" s="1"/>
  <c r="D71" i="1" a="1"/>
  <c r="D71" i="1" s="1"/>
  <c r="D70" i="1" a="1"/>
  <c r="D70" i="1" s="1"/>
  <c r="D69" i="1" a="1"/>
  <c r="D69" i="1" s="1"/>
  <c r="D68" i="1" a="1"/>
  <c r="D68" i="1" s="1"/>
  <c r="D67" i="1" a="1"/>
  <c r="D67" i="1" s="1"/>
  <c r="D66" i="1" a="1"/>
  <c r="D66" i="1" s="1"/>
  <c r="D65" i="1" a="1"/>
  <c r="D65" i="1" s="1"/>
  <c r="D64" i="1" a="1"/>
  <c r="D64" i="1" s="1"/>
  <c r="D63" i="1" a="1"/>
  <c r="D63" i="1" s="1"/>
  <c r="D62" i="1" a="1"/>
  <c r="D62" i="1" s="1"/>
  <c r="D61" i="1" a="1"/>
  <c r="D61" i="1" s="1"/>
  <c r="D60" i="1" a="1"/>
  <c r="D60" i="1" s="1"/>
  <c r="D59" i="1" a="1"/>
  <c r="D59" i="1" s="1"/>
  <c r="D58" i="1" a="1"/>
  <c r="D58" i="1" s="1"/>
  <c r="D57" i="1" a="1"/>
  <c r="D57" i="1" s="1"/>
  <c r="D56" i="1" a="1"/>
  <c r="D56" i="1" s="1"/>
  <c r="D55" i="1" a="1"/>
  <c r="D55" i="1" s="1"/>
  <c r="D54" i="1" a="1"/>
  <c r="D54" i="1" s="1"/>
  <c r="D53" i="1" a="1"/>
  <c r="D53" i="1" s="1"/>
  <c r="D52" i="1" a="1"/>
  <c r="D52" i="1" s="1"/>
  <c r="D51" i="1" a="1"/>
  <c r="D51" i="1" s="1"/>
  <c r="D50" i="1" a="1"/>
  <c r="D50" i="1" s="1"/>
  <c r="D49" i="1" a="1"/>
  <c r="D49" i="1" s="1"/>
  <c r="D48" i="1" a="1"/>
  <c r="D48" i="1"/>
  <c r="D47" i="1" a="1"/>
  <c r="D47" i="1" s="1"/>
  <c r="D46" i="1" a="1"/>
  <c r="D46" i="1" s="1"/>
  <c r="D45" i="1" a="1"/>
  <c r="D45" i="1" s="1"/>
  <c r="D44" i="1" a="1"/>
  <c r="D44" i="1" s="1"/>
  <c r="D43" i="1" a="1"/>
  <c r="D43" i="1" s="1"/>
  <c r="D42" i="1" a="1"/>
  <c r="D42" i="1" s="1"/>
  <c r="D41" i="1" a="1"/>
  <c r="D41" i="1" s="1"/>
  <c r="D40" i="1" a="1"/>
  <c r="D40" i="1" s="1"/>
  <c r="D39" i="1" a="1"/>
  <c r="D39" i="1" s="1"/>
  <c r="D38" i="1" a="1"/>
  <c r="D38" i="1" s="1"/>
  <c r="D37" i="1" a="1"/>
  <c r="D37" i="1" s="1"/>
  <c r="D36" i="1" a="1"/>
  <c r="D36" i="1" s="1"/>
  <c r="D35" i="1" a="1"/>
  <c r="D35" i="1"/>
  <c r="D34" i="1" a="1"/>
  <c r="D34" i="1" s="1"/>
  <c r="D33" i="1" a="1"/>
  <c r="D33" i="1" s="1"/>
  <c r="D32" i="1" a="1"/>
  <c r="D32" i="1" s="1"/>
  <c r="D31" i="1" a="1"/>
  <c r="D31" i="1" s="1"/>
  <c r="D30" i="1" a="1"/>
  <c r="D30" i="1" s="1"/>
  <c r="D29" i="1" a="1"/>
  <c r="D29" i="1" s="1"/>
  <c r="D28" i="1" a="1"/>
  <c r="D28" i="1" s="1"/>
  <c r="D27" i="1" a="1"/>
  <c r="D27" i="1" s="1"/>
  <c r="D26" i="1" a="1"/>
  <c r="D26" i="1" s="1"/>
  <c r="D25" i="1" a="1"/>
  <c r="D25" i="1" s="1"/>
  <c r="D24" i="1" a="1"/>
  <c r="D24" i="1" s="1"/>
  <c r="D23" i="1" a="1"/>
  <c r="D23" i="1" s="1"/>
  <c r="D22" i="1" a="1"/>
  <c r="D22" i="1" s="1"/>
  <c r="D21" i="1" a="1"/>
  <c r="D21" i="1" s="1"/>
  <c r="D20" i="1" a="1"/>
  <c r="D20" i="1" s="1"/>
  <c r="D19" i="1" a="1"/>
  <c r="D19" i="1" s="1"/>
  <c r="D18" i="1" a="1"/>
  <c r="D18" i="1" s="1"/>
  <c r="D17" i="1" a="1"/>
  <c r="D17" i="1" s="1"/>
  <c r="D16" i="1" a="1"/>
  <c r="D16" i="1" s="1"/>
  <c r="D15" i="1" a="1"/>
  <c r="D15" i="1" s="1"/>
  <c r="D14" i="1" a="1"/>
  <c r="D14" i="1" s="1"/>
  <c r="D13" i="1" a="1"/>
  <c r="D13" i="1" s="1"/>
  <c r="D12" i="1" a="1"/>
  <c r="D12" i="1" s="1"/>
  <c r="D11" i="1" a="1"/>
  <c r="D11" i="1" s="1"/>
  <c r="D10" i="1" a="1"/>
  <c r="D10" i="1" s="1"/>
  <c r="D9" i="1" a="1"/>
  <c r="D9" i="1" s="1"/>
  <c r="D8" i="1" a="1"/>
  <c r="D8" i="1" s="1"/>
  <c r="I11" i="1"/>
  <c r="I17" i="1"/>
  <c r="I21" i="1"/>
  <c r="I22" i="1"/>
  <c r="I23" i="1"/>
  <c r="I25" i="1"/>
  <c r="I29" i="1"/>
  <c r="I35" i="1"/>
  <c r="I36" i="1"/>
  <c r="I40" i="1"/>
  <c r="I42" i="1"/>
  <c r="I44" i="1"/>
  <c r="I49" i="1"/>
  <c r="I50" i="1"/>
  <c r="I54" i="1"/>
  <c r="I61" i="1"/>
  <c r="I63" i="1"/>
  <c r="I67" i="1"/>
  <c r="I71" i="1"/>
  <c r="I73" i="1"/>
  <c r="I76" i="1"/>
  <c r="I77" i="1"/>
  <c r="I80" i="1"/>
  <c r="I82" i="1"/>
  <c r="I87" i="1"/>
  <c r="I88" i="1"/>
  <c r="I89" i="1"/>
  <c r="I92" i="1"/>
  <c r="I93" i="1"/>
  <c r="I94" i="1"/>
  <c r="I100" i="1"/>
  <c r="I101" i="1"/>
  <c r="I102" i="1"/>
  <c r="I104" i="1"/>
  <c r="I108" i="1"/>
  <c r="I109" i="1"/>
  <c r="I113" i="1"/>
  <c r="I114" i="1"/>
  <c r="I117" i="1"/>
  <c r="I118" i="1"/>
  <c r="I122" i="1"/>
  <c r="I127" i="1"/>
  <c r="A21" i="5"/>
  <c r="O5" i="1" s="1"/>
  <c r="B7" i="1" s="1"/>
  <c r="D7" i="1" l="1" a="1"/>
  <c r="D7" i="1" s="1"/>
  <c r="B4" i="4"/>
  <c r="F11" i="4" s="1"/>
  <c r="B8" i="4"/>
  <c r="S5" i="1"/>
  <c r="B7" i="4" s="1"/>
  <c r="B5" i="4"/>
  <c r="P2" i="1" l="1"/>
  <c r="L5" i="1" s="1"/>
  <c r="N7" i="1"/>
  <c r="H7" i="1" l="1"/>
  <c r="H52" i="1"/>
  <c r="H33" i="1"/>
  <c r="H69" i="1"/>
  <c r="H81" i="1"/>
  <c r="H93" i="1"/>
  <c r="G93" i="1" s="1"/>
  <c r="J93" i="1" s="1"/>
  <c r="K93" i="1" s="1"/>
  <c r="H105" i="1"/>
  <c r="H117" i="1"/>
  <c r="G117" i="1" s="1"/>
  <c r="J117" i="1" s="1"/>
  <c r="K117" i="1" s="1"/>
  <c r="H129" i="1"/>
  <c r="H21" i="1"/>
  <c r="G21" i="1" s="1"/>
  <c r="J21" i="1" s="1"/>
  <c r="K21" i="1" s="1"/>
  <c r="H45" i="1"/>
  <c r="H57" i="1"/>
  <c r="H58" i="1"/>
  <c r="H62" i="1"/>
  <c r="H79" i="1"/>
  <c r="H95" i="1"/>
  <c r="H10" i="1"/>
  <c r="H61" i="1"/>
  <c r="G61" i="1" s="1"/>
  <c r="J61" i="1" s="1"/>
  <c r="K61" i="1" s="1"/>
  <c r="H99" i="1"/>
  <c r="H76" i="1"/>
  <c r="G76" i="1" s="1"/>
  <c r="H107" i="1"/>
  <c r="H64" i="1"/>
  <c r="H91" i="1"/>
  <c r="H90" i="1"/>
  <c r="H110" i="1"/>
  <c r="H22" i="1"/>
  <c r="G22" i="1" s="1"/>
  <c r="J22" i="1" s="1"/>
  <c r="K22" i="1" s="1"/>
  <c r="H87" i="1"/>
  <c r="G87" i="1" s="1"/>
  <c r="J87" i="1" s="1"/>
  <c r="K87" i="1" s="1"/>
  <c r="H112" i="1"/>
  <c r="H118" i="1"/>
  <c r="G118" i="1" s="1"/>
  <c r="H12" i="1"/>
  <c r="H11" i="1"/>
  <c r="G11" i="1" s="1"/>
  <c r="J11" i="1" s="1"/>
  <c r="K11" i="1" s="1"/>
  <c r="H19" i="1"/>
  <c r="H127" i="1"/>
  <c r="G127" i="1" s="1"/>
  <c r="H18" i="1"/>
  <c r="H26" i="1"/>
  <c r="H25" i="1"/>
  <c r="G25" i="1" s="1"/>
  <c r="J25" i="1" s="1"/>
  <c r="K25" i="1" s="1"/>
  <c r="H41" i="1"/>
  <c r="H60" i="1"/>
  <c r="H78" i="1"/>
  <c r="H43" i="1"/>
  <c r="H63" i="1"/>
  <c r="G63" i="1" s="1"/>
  <c r="J63" i="1" s="1"/>
  <c r="K63" i="1" s="1"/>
  <c r="H55" i="1"/>
  <c r="H54" i="1"/>
  <c r="G54" i="1" s="1"/>
  <c r="I53" i="1" s="1"/>
  <c r="H82" i="1"/>
  <c r="G82" i="1" s="1"/>
  <c r="J82" i="1" s="1"/>
  <c r="K82" i="1" s="1"/>
  <c r="H17" i="1"/>
  <c r="G17" i="1" s="1"/>
  <c r="I15" i="1" s="1"/>
  <c r="H77" i="1"/>
  <c r="G77" i="1" s="1"/>
  <c r="J77" i="1" s="1"/>
  <c r="K77" i="1" s="1"/>
  <c r="H86" i="1"/>
  <c r="H102" i="1"/>
  <c r="G102" i="1" s="1"/>
  <c r="H39" i="1"/>
  <c r="H68" i="1"/>
  <c r="H106" i="1"/>
  <c r="H27" i="1"/>
  <c r="H114" i="1"/>
  <c r="G114" i="1" s="1"/>
  <c r="J114" i="1" s="1"/>
  <c r="K114" i="1" s="1"/>
  <c r="H53" i="1"/>
  <c r="H84" i="1"/>
  <c r="H101" i="1"/>
  <c r="G101" i="1" s="1"/>
  <c r="J101" i="1" s="1"/>
  <c r="K101" i="1" s="1"/>
  <c r="H109" i="1"/>
  <c r="G109" i="1" s="1"/>
  <c r="J109" i="1" s="1"/>
  <c r="K109" i="1" s="1"/>
  <c r="H46" i="1"/>
  <c r="H83" i="1"/>
  <c r="H28" i="1"/>
  <c r="H13" i="1"/>
  <c r="H121" i="1"/>
  <c r="H115" i="1"/>
  <c r="H89" i="1"/>
  <c r="G89" i="1" s="1"/>
  <c r="I74" i="1" s="1"/>
  <c r="H108" i="1"/>
  <c r="G108" i="1" s="1"/>
  <c r="J108" i="1" s="1"/>
  <c r="K108" i="1" s="1"/>
  <c r="H116" i="1"/>
  <c r="H75" i="1"/>
  <c r="H50" i="1"/>
  <c r="G50" i="1" s="1"/>
  <c r="J50" i="1" s="1"/>
  <c r="K50" i="1" s="1"/>
  <c r="H20" i="1"/>
  <c r="H128" i="1"/>
  <c r="H100" i="1"/>
  <c r="G100" i="1" s="1"/>
  <c r="H98" i="1"/>
  <c r="H9" i="1"/>
  <c r="H111" i="1"/>
  <c r="H97" i="1"/>
  <c r="H35" i="1"/>
  <c r="G35" i="1" s="1"/>
  <c r="J35" i="1" s="1"/>
  <c r="K35" i="1" s="1"/>
  <c r="H36" i="1"/>
  <c r="G36" i="1" s="1"/>
  <c r="I34" i="1" s="1"/>
  <c r="H113" i="1"/>
  <c r="G113" i="1" s="1"/>
  <c r="J113" i="1" s="1"/>
  <c r="K113" i="1" s="1"/>
  <c r="H94" i="1"/>
  <c r="G94" i="1" s="1"/>
  <c r="J94" i="1" s="1"/>
  <c r="K94" i="1" s="1"/>
  <c r="H16" i="1"/>
  <c r="H104" i="1"/>
  <c r="G104" i="1" s="1"/>
  <c r="J104" i="1" s="1"/>
  <c r="K104" i="1" s="1"/>
  <c r="H23" i="1"/>
  <c r="G23" i="1" s="1"/>
  <c r="J23" i="1" s="1"/>
  <c r="K23" i="1" s="1"/>
  <c r="H42" i="1"/>
  <c r="G42" i="1" s="1"/>
  <c r="J42" i="1" s="1"/>
  <c r="K42" i="1" s="1"/>
  <c r="H72" i="1"/>
  <c r="H120" i="1"/>
  <c r="H8" i="1"/>
  <c r="H88" i="1"/>
  <c r="G88" i="1" s="1"/>
  <c r="J88" i="1" s="1"/>
  <c r="K88" i="1" s="1"/>
  <c r="H119" i="1"/>
  <c r="H59" i="1"/>
  <c r="H49" i="1"/>
  <c r="G49" i="1" s="1"/>
  <c r="J49" i="1" s="1"/>
  <c r="K49" i="1" s="1"/>
  <c r="H122" i="1"/>
  <c r="G122" i="1" s="1"/>
  <c r="J122" i="1" s="1"/>
  <c r="K122" i="1" s="1"/>
  <c r="H30" i="1"/>
  <c r="H24" i="1"/>
  <c r="H126" i="1"/>
  <c r="H124" i="1"/>
  <c r="H56" i="1"/>
  <c r="H15" i="1"/>
  <c r="H14" i="1"/>
  <c r="H37" i="1"/>
  <c r="H38" i="1"/>
  <c r="H40" i="1"/>
  <c r="G40" i="1" s="1"/>
  <c r="J40" i="1" s="1"/>
  <c r="K40" i="1" s="1"/>
  <c r="H31" i="1"/>
  <c r="H71" i="1"/>
  <c r="G71" i="1" s="1"/>
  <c r="J71" i="1" s="1"/>
  <c r="K71" i="1" s="1"/>
  <c r="H51" i="1"/>
  <c r="H29" i="1"/>
  <c r="G29" i="1" s="1"/>
  <c r="I28" i="1" s="1"/>
  <c r="H66" i="1"/>
  <c r="H32" i="1"/>
  <c r="H34" i="1"/>
  <c r="H67" i="1"/>
  <c r="G67" i="1" s="1"/>
  <c r="J67" i="1" s="1"/>
  <c r="K67" i="1" s="1"/>
  <c r="H123" i="1"/>
  <c r="H48" i="1"/>
  <c r="H73" i="1"/>
  <c r="G73" i="1" s="1"/>
  <c r="J73" i="1" s="1"/>
  <c r="K73" i="1" s="1"/>
  <c r="H74" i="1"/>
  <c r="H47" i="1"/>
  <c r="H103" i="1"/>
  <c r="H85" i="1"/>
  <c r="H44" i="1"/>
  <c r="G44" i="1" s="1"/>
  <c r="I43" i="1" s="1"/>
  <c r="H65" i="1"/>
  <c r="H80" i="1"/>
  <c r="G80" i="1" s="1"/>
  <c r="J80" i="1" s="1"/>
  <c r="K80" i="1" s="1"/>
  <c r="H96" i="1"/>
  <c r="H70" i="1"/>
  <c r="H125" i="1"/>
  <c r="H92" i="1"/>
  <c r="G92" i="1" s="1"/>
  <c r="B2" i="4"/>
  <c r="B11" i="4"/>
  <c r="B10" i="4"/>
  <c r="B9" i="4"/>
  <c r="G11" i="4"/>
  <c r="G10" i="4"/>
  <c r="G9" i="4"/>
  <c r="G8" i="4"/>
  <c r="G7" i="4"/>
  <c r="G6" i="4"/>
  <c r="G4" i="4"/>
  <c r="G3" i="4"/>
  <c r="G2" i="4"/>
  <c r="J92" i="1" l="1"/>
  <c r="K92" i="1" s="1"/>
  <c r="I91" i="1"/>
  <c r="G91" i="1" s="1"/>
  <c r="J91" i="1" s="1"/>
  <c r="K91" i="1" s="1"/>
  <c r="G43" i="1"/>
  <c r="G15" i="1"/>
  <c r="G34" i="1"/>
  <c r="G28" i="1"/>
  <c r="G53" i="1"/>
  <c r="G74" i="1"/>
  <c r="J118" i="1"/>
  <c r="K118" i="1" s="1"/>
  <c r="I116" i="1"/>
  <c r="G116" i="1" s="1"/>
  <c r="I99" i="1"/>
  <c r="G99" i="1" s="1"/>
  <c r="J100" i="1"/>
  <c r="K100" i="1" s="1"/>
  <c r="J76" i="1"/>
  <c r="K76" i="1" s="1"/>
  <c r="I75" i="1"/>
  <c r="G75" i="1" s="1"/>
  <c r="I10" i="1"/>
  <c r="G10" i="1" s="1"/>
  <c r="I112" i="1"/>
  <c r="G112" i="1" s="1"/>
  <c r="I83" i="1"/>
  <c r="G83" i="1" s="1"/>
  <c r="I69" i="1"/>
  <c r="G69" i="1" s="1"/>
  <c r="J17" i="1"/>
  <c r="K17" i="1" s="1"/>
  <c r="I103" i="1"/>
  <c r="G103" i="1" s="1"/>
  <c r="I20" i="1"/>
  <c r="G20" i="1" s="1"/>
  <c r="J29" i="1"/>
  <c r="K29" i="1" s="1"/>
  <c r="I107" i="1"/>
  <c r="G107" i="1" s="1"/>
  <c r="J44" i="1"/>
  <c r="K44" i="1" s="1"/>
  <c r="I121" i="1"/>
  <c r="G121" i="1" s="1"/>
  <c r="J54" i="1"/>
  <c r="K54" i="1" s="1"/>
  <c r="J36" i="1"/>
  <c r="K36" i="1" s="1"/>
  <c r="J89" i="1"/>
  <c r="K89" i="1" s="1"/>
  <c r="J127" i="1"/>
  <c r="I31" i="1"/>
  <c r="G31" i="1" s="1"/>
  <c r="F2" i="4"/>
  <c r="F3" i="4" s="1"/>
  <c r="F7" i="4" s="1"/>
  <c r="L3" i="1"/>
  <c r="J99" i="1" l="1"/>
  <c r="K99" i="1" s="1"/>
  <c r="K127" i="1"/>
  <c r="L127" i="1" s="1"/>
  <c r="J69" i="1"/>
  <c r="K69" i="1" s="1"/>
  <c r="J75" i="1"/>
  <c r="K75" i="1" s="1"/>
  <c r="S4" i="1"/>
  <c r="S18" i="1" l="1"/>
  <c r="S19" i="1"/>
  <c r="S8" i="1"/>
  <c r="S20" i="1"/>
  <c r="S32" i="1"/>
  <c r="S44" i="1"/>
  <c r="S56" i="1"/>
  <c r="S68" i="1"/>
  <c r="S80" i="1"/>
  <c r="S92" i="1"/>
  <c r="S104" i="1"/>
  <c r="S116" i="1"/>
  <c r="S128" i="1"/>
  <c r="S47" i="1"/>
  <c r="S83" i="1"/>
  <c r="S119" i="1"/>
  <c r="S24" i="1"/>
  <c r="S60" i="1"/>
  <c r="S96" i="1"/>
  <c r="S13" i="1"/>
  <c r="S49" i="1"/>
  <c r="S73" i="1"/>
  <c r="S97" i="1"/>
  <c r="S121" i="1"/>
  <c r="S26" i="1"/>
  <c r="S50" i="1"/>
  <c r="S74" i="1"/>
  <c r="S98" i="1"/>
  <c r="S122" i="1"/>
  <c r="S15" i="1"/>
  <c r="S39" i="1"/>
  <c r="S51" i="1"/>
  <c r="S63" i="1"/>
  <c r="S87" i="1"/>
  <c r="S111" i="1"/>
  <c r="S16" i="1"/>
  <c r="S52" i="1"/>
  <c r="S76" i="1"/>
  <c r="S100" i="1"/>
  <c r="S124" i="1"/>
  <c r="S29" i="1"/>
  <c r="S53" i="1"/>
  <c r="S77" i="1"/>
  <c r="S101" i="1"/>
  <c r="S125" i="1"/>
  <c r="S30" i="1"/>
  <c r="S54" i="1"/>
  <c r="S78" i="1"/>
  <c r="S102" i="1"/>
  <c r="S126" i="1"/>
  <c r="S31" i="1"/>
  <c r="S55" i="1"/>
  <c r="S79" i="1"/>
  <c r="S103" i="1"/>
  <c r="S127" i="1"/>
  <c r="S9" i="1"/>
  <c r="S21" i="1"/>
  <c r="S33" i="1"/>
  <c r="S45" i="1"/>
  <c r="S57" i="1"/>
  <c r="S69" i="1"/>
  <c r="S81" i="1"/>
  <c r="S93" i="1"/>
  <c r="S105" i="1"/>
  <c r="S117" i="1"/>
  <c r="S129" i="1"/>
  <c r="S11" i="1"/>
  <c r="S35" i="1"/>
  <c r="S59" i="1"/>
  <c r="S95" i="1"/>
  <c r="S36" i="1"/>
  <c r="S72" i="1"/>
  <c r="S108" i="1"/>
  <c r="S25" i="1"/>
  <c r="S10" i="1"/>
  <c r="S22" i="1"/>
  <c r="S34" i="1"/>
  <c r="S46" i="1"/>
  <c r="S58" i="1"/>
  <c r="S70" i="1"/>
  <c r="S82" i="1"/>
  <c r="S94" i="1"/>
  <c r="S106" i="1"/>
  <c r="S118" i="1"/>
  <c r="S23" i="1"/>
  <c r="S71" i="1"/>
  <c r="S107" i="1"/>
  <c r="S12" i="1"/>
  <c r="S48" i="1"/>
  <c r="S84" i="1"/>
  <c r="S120" i="1"/>
  <c r="S37" i="1"/>
  <c r="S61" i="1"/>
  <c r="S85" i="1"/>
  <c r="S109" i="1"/>
  <c r="S14" i="1"/>
  <c r="S38" i="1"/>
  <c r="S62" i="1"/>
  <c r="S86" i="1"/>
  <c r="S110" i="1"/>
  <c r="S27" i="1"/>
  <c r="S75" i="1"/>
  <c r="S99" i="1"/>
  <c r="S123" i="1"/>
  <c r="S28" i="1"/>
  <c r="S40" i="1"/>
  <c r="S64" i="1"/>
  <c r="S88" i="1"/>
  <c r="S112" i="1"/>
  <c r="S17" i="1"/>
  <c r="S41" i="1"/>
  <c r="S65" i="1"/>
  <c r="S89" i="1"/>
  <c r="S113" i="1"/>
  <c r="S42" i="1"/>
  <c r="S66" i="1"/>
  <c r="S90" i="1"/>
  <c r="S114" i="1"/>
  <c r="S43" i="1"/>
  <c r="S67" i="1"/>
  <c r="S91" i="1"/>
  <c r="S115" i="1"/>
  <c r="M127" i="1"/>
  <c r="O127" i="1" s="1"/>
  <c r="I72" i="1"/>
  <c r="G72" i="1" s="1"/>
  <c r="J74" i="1"/>
  <c r="K74" i="1" s="1"/>
  <c r="I81" i="1"/>
  <c r="G81" i="1" s="1"/>
  <c r="J83" i="1"/>
  <c r="K83" i="1" s="1"/>
  <c r="I120" i="1"/>
  <c r="G120" i="1" s="1"/>
  <c r="J121" i="1"/>
  <c r="K121" i="1" s="1"/>
  <c r="B6" i="4"/>
  <c r="S7" i="1"/>
  <c r="F6" i="4"/>
  <c r="F8" i="4" s="1"/>
  <c r="F4" i="4"/>
  <c r="F10" i="4" s="1"/>
  <c r="F9" i="4" s="1"/>
  <c r="I119" i="1" l="1"/>
  <c r="G119" i="1" s="1"/>
  <c r="J120" i="1"/>
  <c r="K120" i="1" s="1"/>
  <c r="J116" i="1"/>
  <c r="K116" i="1" s="1"/>
  <c r="J31" i="1"/>
  <c r="K31" i="1" s="1"/>
  <c r="L117" i="1"/>
  <c r="L108" i="1"/>
  <c r="L80" i="1"/>
  <c r="J15" i="1"/>
  <c r="J119" i="1" l="1"/>
  <c r="K119" i="1" s="1"/>
  <c r="K15" i="1"/>
  <c r="M15" i="1" s="1"/>
  <c r="I52" i="1"/>
  <c r="G52" i="1" s="1"/>
  <c r="J53" i="1"/>
  <c r="K53" i="1" s="1"/>
  <c r="I33" i="1"/>
  <c r="G33" i="1" s="1"/>
  <c r="J34" i="1"/>
  <c r="K34" i="1" s="1"/>
  <c r="I41" i="1"/>
  <c r="G41" i="1" s="1"/>
  <c r="J43" i="1"/>
  <c r="K43" i="1" s="1"/>
  <c r="I98" i="1"/>
  <c r="G98" i="1" s="1"/>
  <c r="J103" i="1"/>
  <c r="K103" i="1" s="1"/>
  <c r="M122" i="1"/>
  <c r="O122" i="1" s="1"/>
  <c r="L122" i="1"/>
  <c r="I115" i="1"/>
  <c r="G115" i="1" s="1"/>
  <c r="J107" i="1"/>
  <c r="K107" i="1" s="1"/>
  <c r="J10" i="1"/>
  <c r="K10" i="1" s="1"/>
  <c r="L42" i="1"/>
  <c r="L93" i="1"/>
  <c r="L104" i="1"/>
  <c r="L118" i="1"/>
  <c r="L94" i="1"/>
  <c r="L25" i="1"/>
  <c r="L101" i="1"/>
  <c r="L113" i="1"/>
  <c r="L50" i="1"/>
  <c r="L109" i="1"/>
  <c r="L100" i="1"/>
  <c r="M108" i="1"/>
  <c r="O108" i="1" s="1"/>
  <c r="J98" i="1" l="1"/>
  <c r="K98" i="1" s="1"/>
  <c r="J33" i="1"/>
  <c r="K33" i="1" s="1"/>
  <c r="J115" i="1"/>
  <c r="K115" i="1" s="1"/>
  <c r="I39" i="1"/>
  <c r="G39" i="1" s="1"/>
  <c r="J41" i="1"/>
  <c r="K41" i="1" s="1"/>
  <c r="I51" i="1"/>
  <c r="G51" i="1" s="1"/>
  <c r="J52" i="1"/>
  <c r="K52" i="1" s="1"/>
  <c r="I96" i="1"/>
  <c r="G96" i="1" s="1"/>
  <c r="J102" i="1"/>
  <c r="I19" i="1"/>
  <c r="G19" i="1" s="1"/>
  <c r="J20" i="1"/>
  <c r="K20" i="1" s="1"/>
  <c r="L20" i="1" s="1"/>
  <c r="I111" i="1"/>
  <c r="G111" i="1" s="1"/>
  <c r="J112" i="1"/>
  <c r="K112" i="1" s="1"/>
  <c r="L112" i="1" s="1"/>
  <c r="I126" i="1"/>
  <c r="G126" i="1" s="1"/>
  <c r="I97" i="1"/>
  <c r="G97" i="1" s="1"/>
  <c r="I106" i="1"/>
  <c r="G106" i="1" s="1"/>
  <c r="L29" i="1"/>
  <c r="L54" i="1"/>
  <c r="L44" i="1"/>
  <c r="T128" i="1"/>
  <c r="L36" i="1"/>
  <c r="T127" i="1"/>
  <c r="L49" i="1"/>
  <c r="L35" i="1"/>
  <c r="L73" i="1"/>
  <c r="T84" i="1"/>
  <c r="T81" i="1"/>
  <c r="T60" i="1"/>
  <c r="T72" i="1"/>
  <c r="T48" i="1"/>
  <c r="T79" i="1"/>
  <c r="T102" i="1"/>
  <c r="T52" i="1"/>
  <c r="T99" i="1"/>
  <c r="T86" i="1"/>
  <c r="T73" i="1"/>
  <c r="T59" i="1"/>
  <c r="T46" i="1"/>
  <c r="T108" i="1"/>
  <c r="T43" i="1"/>
  <c r="T90" i="1"/>
  <c r="T125" i="1"/>
  <c r="T40" i="1"/>
  <c r="T87" i="1"/>
  <c r="T74" i="1"/>
  <c r="T61" i="1"/>
  <c r="T47" i="1"/>
  <c r="T34" i="1"/>
  <c r="T105" i="1"/>
  <c r="T19" i="1"/>
  <c r="T78" i="1"/>
  <c r="T89" i="1"/>
  <c r="T28" i="1"/>
  <c r="T75" i="1"/>
  <c r="T62" i="1"/>
  <c r="T49" i="1"/>
  <c r="T35" i="1"/>
  <c r="T22" i="1"/>
  <c r="T7" i="1"/>
  <c r="T104" i="1"/>
  <c r="T66" i="1"/>
  <c r="T65" i="1"/>
  <c r="T16" i="1"/>
  <c r="T63" i="1"/>
  <c r="T50" i="1"/>
  <c r="T37" i="1"/>
  <c r="T23" i="1"/>
  <c r="T10" i="1"/>
  <c r="T32" i="1"/>
  <c r="T54" i="1"/>
  <c r="T41" i="1"/>
  <c r="T80" i="1"/>
  <c r="T51" i="1"/>
  <c r="T38" i="1"/>
  <c r="T25" i="1"/>
  <c r="T11" i="1"/>
  <c r="T69" i="1"/>
  <c r="T117" i="1"/>
  <c r="T115" i="1"/>
  <c r="T42" i="1"/>
  <c r="T17" i="1"/>
  <c r="T20" i="1"/>
  <c r="T39" i="1"/>
  <c r="T26" i="1"/>
  <c r="T13" i="1"/>
  <c r="T12" i="1"/>
  <c r="T57" i="1"/>
  <c r="T122" i="1"/>
  <c r="T82" i="1"/>
  <c r="T44" i="1"/>
  <c r="T123" i="1"/>
  <c r="T83" i="1"/>
  <c r="T103" i="1"/>
  <c r="T64" i="1"/>
  <c r="T85" i="1"/>
  <c r="T58" i="1"/>
  <c r="T96" i="1"/>
  <c r="T91" i="1"/>
  <c r="T30" i="1"/>
  <c r="T124" i="1"/>
  <c r="T113" i="1"/>
  <c r="T27" i="1"/>
  <c r="T14" i="1"/>
  <c r="T24" i="1"/>
  <c r="T118" i="1"/>
  <c r="T45" i="1"/>
  <c r="T106" i="1"/>
  <c r="T33" i="1"/>
  <c r="T120" i="1"/>
  <c r="T116" i="1"/>
  <c r="T53" i="1"/>
  <c r="T121" i="1"/>
  <c r="T94" i="1"/>
  <c r="T93" i="1"/>
  <c r="T101" i="1"/>
  <c r="T29" i="1"/>
  <c r="T95" i="1"/>
  <c r="T126" i="1"/>
  <c r="T76" i="1"/>
  <c r="T97" i="1"/>
  <c r="T36" i="1"/>
  <c r="T8" i="1"/>
  <c r="T98" i="1"/>
  <c r="T9" i="1"/>
  <c r="T67" i="1"/>
  <c r="T18" i="1"/>
  <c r="T112" i="1"/>
  <c r="T77" i="1"/>
  <c r="T15" i="1"/>
  <c r="T56" i="1"/>
  <c r="T119" i="1"/>
  <c r="T55" i="1"/>
  <c r="T100" i="1"/>
  <c r="T92" i="1"/>
  <c r="T107" i="1"/>
  <c r="T21" i="1"/>
  <c r="T31" i="1"/>
  <c r="T88" i="1"/>
  <c r="T109" i="1"/>
  <c r="T68" i="1"/>
  <c r="T110" i="1"/>
  <c r="T70" i="1"/>
  <c r="T114" i="1"/>
  <c r="T111" i="1"/>
  <c r="T71" i="1"/>
  <c r="M93" i="1"/>
  <c r="O93" i="1" s="1"/>
  <c r="M101" i="1"/>
  <c r="O101" i="1" s="1"/>
  <c r="L107" i="1"/>
  <c r="L103" i="1"/>
  <c r="L99" i="1"/>
  <c r="M117" i="1"/>
  <c r="O117" i="1" s="1"/>
  <c r="J51" i="1" l="1"/>
  <c r="K51" i="1" s="1"/>
  <c r="J96" i="1"/>
  <c r="J97" i="1"/>
  <c r="K97" i="1" s="1"/>
  <c r="J126" i="1"/>
  <c r="K126" i="1" s="1"/>
  <c r="J106" i="1"/>
  <c r="J111" i="1"/>
  <c r="K102" i="1"/>
  <c r="L102" i="1" s="1"/>
  <c r="I38" i="1"/>
  <c r="G38" i="1" s="1"/>
  <c r="J39" i="1"/>
  <c r="K39" i="1" s="1"/>
  <c r="I27" i="1"/>
  <c r="G27" i="1" s="1"/>
  <c r="J28" i="1"/>
  <c r="K28" i="1" s="1"/>
  <c r="M23" i="1"/>
  <c r="O23" i="1" s="1"/>
  <c r="L23" i="1"/>
  <c r="I48" i="1"/>
  <c r="G48" i="1" s="1"/>
  <c r="I110" i="1"/>
  <c r="G110" i="1" s="1"/>
  <c r="I95" i="1"/>
  <c r="G95" i="1" s="1"/>
  <c r="L34" i="1"/>
  <c r="L43" i="1"/>
  <c r="L53" i="1"/>
  <c r="M35" i="1"/>
  <c r="O35" i="1" s="1"/>
  <c r="M49" i="1"/>
  <c r="O49" i="1" s="1"/>
  <c r="M73" i="1"/>
  <c r="O73" i="1" s="1"/>
  <c r="L40" i="1"/>
  <c r="L76" i="1"/>
  <c r="M112" i="1"/>
  <c r="O112" i="1" s="1"/>
  <c r="L52" i="1"/>
  <c r="L98" i="1"/>
  <c r="L89" i="1"/>
  <c r="M103" i="1"/>
  <c r="O103" i="1" s="1"/>
  <c r="M100" i="1"/>
  <c r="O100" i="1" s="1"/>
  <c r="M107" i="1"/>
  <c r="O107" i="1" s="1"/>
  <c r="M99" i="1"/>
  <c r="O99" i="1" s="1"/>
  <c r="M80" i="1"/>
  <c r="O80" i="1" s="1"/>
  <c r="M42" i="1"/>
  <c r="O42" i="1" s="1"/>
  <c r="K106" i="1" l="1"/>
  <c r="L106" i="1" s="1"/>
  <c r="K111" i="1"/>
  <c r="L111" i="1" s="1"/>
  <c r="K96" i="1"/>
  <c r="L96" i="1" s="1"/>
  <c r="J27" i="1"/>
  <c r="K27" i="1" s="1"/>
  <c r="J38" i="1"/>
  <c r="K38" i="1" s="1"/>
  <c r="M102" i="1"/>
  <c r="O102" i="1" s="1"/>
  <c r="J95" i="1"/>
  <c r="K95" i="1" s="1"/>
  <c r="I129" i="1"/>
  <c r="G129" i="1" s="1"/>
  <c r="I105" i="1"/>
  <c r="G105" i="1" s="1"/>
  <c r="J110" i="1"/>
  <c r="K110" i="1" s="1"/>
  <c r="I79" i="1"/>
  <c r="G79" i="1" s="1"/>
  <c r="I78" i="1" s="1"/>
  <c r="G78" i="1" s="1"/>
  <c r="J81" i="1"/>
  <c r="M28" i="1"/>
  <c r="O28" i="1" s="1"/>
  <c r="L28" i="1"/>
  <c r="L126" i="1"/>
  <c r="J72" i="1"/>
  <c r="K72" i="1" s="1"/>
  <c r="L33" i="1"/>
  <c r="L41" i="1"/>
  <c r="M43" i="1"/>
  <c r="O43" i="1" s="1"/>
  <c r="M53" i="1"/>
  <c r="O53" i="1" s="1"/>
  <c r="M34" i="1"/>
  <c r="O34" i="1" s="1"/>
  <c r="L75" i="1"/>
  <c r="L88" i="1"/>
  <c r="L97" i="1"/>
  <c r="M89" i="1"/>
  <c r="O89" i="1" s="1"/>
  <c r="M52" i="1"/>
  <c r="O52" i="1" s="1"/>
  <c r="M54" i="1"/>
  <c r="O54" i="1" s="1"/>
  <c r="M50" i="1"/>
  <c r="O50" i="1" s="1"/>
  <c r="L21" i="1"/>
  <c r="M106" i="1" l="1"/>
  <c r="O106" i="1" s="1"/>
  <c r="J129" i="1"/>
  <c r="K129" i="1" s="1"/>
  <c r="I128" i="1"/>
  <c r="G128" i="1" s="1"/>
  <c r="I70" i="1"/>
  <c r="G70" i="1" s="1"/>
  <c r="J79" i="1"/>
  <c r="K79" i="1" s="1"/>
  <c r="I90" i="1"/>
  <c r="G90" i="1" s="1"/>
  <c r="J105" i="1"/>
  <c r="K105" i="1" s="1"/>
  <c r="M27" i="1"/>
  <c r="O27" i="1" s="1"/>
  <c r="L27" i="1"/>
  <c r="M74" i="1"/>
  <c r="O74" i="1" s="1"/>
  <c r="L74" i="1"/>
  <c r="I66" i="1"/>
  <c r="G66" i="1" s="1"/>
  <c r="M126" i="1"/>
  <c r="O126" i="1" s="1"/>
  <c r="J78" i="1"/>
  <c r="K78" i="1" s="1"/>
  <c r="L83" i="1"/>
  <c r="M111" i="1"/>
  <c r="O111" i="1" s="1"/>
  <c r="M75" i="1"/>
  <c r="O75" i="1" s="1"/>
  <c r="L72" i="1"/>
  <c r="M41" i="1"/>
  <c r="O41" i="1" s="1"/>
  <c r="M33" i="1"/>
  <c r="O33" i="1" s="1"/>
  <c r="M98" i="1"/>
  <c r="O98" i="1" s="1"/>
  <c r="L95" i="1"/>
  <c r="L87" i="1"/>
  <c r="M118" i="1"/>
  <c r="O118" i="1" s="1"/>
  <c r="M40" i="1"/>
  <c r="O40" i="1" s="1"/>
  <c r="M44" i="1"/>
  <c r="O44" i="1" s="1"/>
  <c r="J128" i="1" l="1"/>
  <c r="K128" i="1" s="1"/>
  <c r="I86" i="1"/>
  <c r="G86" i="1" s="1"/>
  <c r="L129" i="1"/>
  <c r="I65" i="1"/>
  <c r="G65" i="1" s="1"/>
  <c r="J66" i="1"/>
  <c r="M51" i="1"/>
  <c r="O51" i="1" s="1"/>
  <c r="L51" i="1"/>
  <c r="M39" i="1"/>
  <c r="O39" i="1" s="1"/>
  <c r="L39" i="1"/>
  <c r="L71" i="1"/>
  <c r="M72" i="1"/>
  <c r="O72" i="1" s="1"/>
  <c r="M95" i="1"/>
  <c r="O95" i="1" s="1"/>
  <c r="M97" i="1"/>
  <c r="O97" i="1" s="1"/>
  <c r="M88" i="1"/>
  <c r="O88" i="1" s="1"/>
  <c r="L61" i="1"/>
  <c r="L92" i="1"/>
  <c r="M96" i="1"/>
  <c r="O96" i="1" s="1"/>
  <c r="M94" i="1"/>
  <c r="O94" i="1" s="1"/>
  <c r="M21" i="1"/>
  <c r="O21" i="1" s="1"/>
  <c r="K66" i="1" l="1"/>
  <c r="L66" i="1" s="1"/>
  <c r="M129" i="1"/>
  <c r="O129" i="1" s="1"/>
  <c r="M128" i="1"/>
  <c r="O128" i="1" s="1"/>
  <c r="I85" i="1"/>
  <c r="G85" i="1" s="1"/>
  <c r="J86" i="1"/>
  <c r="K86" i="1" s="1"/>
  <c r="I64" i="1"/>
  <c r="G64" i="1" s="1"/>
  <c r="J65" i="1"/>
  <c r="K65" i="1" s="1"/>
  <c r="L65" i="1" s="1"/>
  <c r="M38" i="1"/>
  <c r="O38" i="1" s="1"/>
  <c r="L38" i="1"/>
  <c r="M82" i="1"/>
  <c r="O82" i="1" s="1"/>
  <c r="L82" i="1"/>
  <c r="M78" i="1"/>
  <c r="O78" i="1" s="1"/>
  <c r="L78" i="1"/>
  <c r="L67" i="1"/>
  <c r="M71" i="1"/>
  <c r="O71" i="1" s="1"/>
  <c r="L69" i="1"/>
  <c r="M87" i="1"/>
  <c r="O87" i="1" s="1"/>
  <c r="L91" i="1"/>
  <c r="M113" i="1"/>
  <c r="O113" i="1" s="1"/>
  <c r="M109" i="1"/>
  <c r="O109" i="1" s="1"/>
  <c r="J85" i="1" l="1"/>
  <c r="K85" i="1" s="1"/>
  <c r="L128" i="1"/>
  <c r="I62" i="1"/>
  <c r="G62" i="1" s="1"/>
  <c r="J64" i="1"/>
  <c r="K64" i="1" s="1"/>
  <c r="M86" i="1"/>
  <c r="O86" i="1" s="1"/>
  <c r="L86" i="1"/>
  <c r="M81" i="1"/>
  <c r="O81" i="1" s="1"/>
  <c r="L81" i="1"/>
  <c r="M65" i="1"/>
  <c r="O65" i="1" s="1"/>
  <c r="M69" i="1"/>
  <c r="O69" i="1" s="1"/>
  <c r="M92" i="1"/>
  <c r="O92" i="1" s="1"/>
  <c r="M66" i="1"/>
  <c r="O66" i="1" s="1"/>
  <c r="M67" i="1"/>
  <c r="O67" i="1" s="1"/>
  <c r="M36" i="1"/>
  <c r="O36" i="1" s="1"/>
  <c r="M83" i="1"/>
  <c r="O83" i="1" s="1"/>
  <c r="M104" i="1"/>
  <c r="O104" i="1" s="1"/>
  <c r="I68" i="1" l="1"/>
  <c r="G68" i="1" s="1"/>
  <c r="J70" i="1"/>
  <c r="K70" i="1" s="1"/>
  <c r="J62" i="1"/>
  <c r="K62" i="1" s="1"/>
  <c r="M79" i="1"/>
  <c r="O79" i="1" s="1"/>
  <c r="L79" i="1"/>
  <c r="L85" i="1"/>
  <c r="M91" i="1"/>
  <c r="O91" i="1" s="1"/>
  <c r="M70" i="1" l="1"/>
  <c r="O70" i="1" s="1"/>
  <c r="L70" i="1"/>
  <c r="J68" i="1"/>
  <c r="K68" i="1" s="1"/>
  <c r="L64" i="1"/>
  <c r="M85" i="1"/>
  <c r="O85" i="1" s="1"/>
  <c r="L63" i="1"/>
  <c r="M76" i="1"/>
  <c r="O76" i="1" s="1"/>
  <c r="I125" i="1" l="1"/>
  <c r="G125" i="1" s="1"/>
  <c r="M64" i="1"/>
  <c r="O64" i="1" s="1"/>
  <c r="J19" i="1"/>
  <c r="K19" i="1" s="1"/>
  <c r="L62" i="1"/>
  <c r="M61" i="1"/>
  <c r="O61" i="1" s="1"/>
  <c r="M29" i="1"/>
  <c r="O29" i="1" s="1"/>
  <c r="J125" i="1" l="1"/>
  <c r="K125" i="1" s="1"/>
  <c r="M77" i="1"/>
  <c r="O77" i="1" s="1"/>
  <c r="L77" i="1"/>
  <c r="M68" i="1"/>
  <c r="O68" i="1" s="1"/>
  <c r="L68" i="1"/>
  <c r="I124" i="1"/>
  <c r="G124" i="1" s="1"/>
  <c r="M63" i="1"/>
  <c r="O63" i="1" s="1"/>
  <c r="M25" i="1"/>
  <c r="O25" i="1" s="1"/>
  <c r="J124" i="1" l="1"/>
  <c r="K124" i="1" s="1"/>
  <c r="L124" i="1" s="1"/>
  <c r="I60" i="1"/>
  <c r="G60" i="1" s="1"/>
  <c r="M125" i="1"/>
  <c r="O125" i="1" s="1"/>
  <c r="L125" i="1"/>
  <c r="I58" i="1"/>
  <c r="G58" i="1" s="1"/>
  <c r="L17" i="1"/>
  <c r="L22" i="1"/>
  <c r="M62" i="1"/>
  <c r="O62" i="1" s="1"/>
  <c r="J60" i="1" l="1"/>
  <c r="K60" i="1" s="1"/>
  <c r="I9" i="1"/>
  <c r="G9" i="1" s="1"/>
  <c r="J58" i="1"/>
  <c r="K58" i="1" s="1"/>
  <c r="M124" i="1"/>
  <c r="O124" i="1" s="1"/>
  <c r="M17" i="1"/>
  <c r="O17" i="1" s="1"/>
  <c r="L19" i="1"/>
  <c r="M22" i="1"/>
  <c r="O22" i="1" s="1"/>
  <c r="I8" i="1" l="1"/>
  <c r="G8" i="1" s="1"/>
  <c r="J9" i="1"/>
  <c r="K9" i="1" s="1"/>
  <c r="L60" i="1"/>
  <c r="M20" i="1"/>
  <c r="O20" i="1" s="1"/>
  <c r="M19" i="1"/>
  <c r="O19" i="1" s="1"/>
  <c r="J8" i="1" l="1"/>
  <c r="K8" i="1" s="1"/>
  <c r="M60" i="1"/>
  <c r="O60" i="1" s="1"/>
  <c r="L9" i="1"/>
  <c r="O15" i="1"/>
  <c r="L15" i="1"/>
  <c r="M58" i="1"/>
  <c r="O58" i="1" s="1"/>
  <c r="L58" i="1"/>
  <c r="M9" i="1" l="1"/>
  <c r="O9" i="1" s="1"/>
  <c r="L116" i="1" l="1"/>
  <c r="M116" i="1" l="1"/>
  <c r="O116" i="1" s="1"/>
  <c r="L115" i="1"/>
  <c r="M115" i="1" l="1"/>
  <c r="O115" i="1" s="1"/>
  <c r="L121" i="1" l="1"/>
  <c r="I47" i="1" l="1"/>
  <c r="G47" i="1" s="1"/>
  <c r="J48" i="1"/>
  <c r="K48" i="1" s="1"/>
  <c r="M121" i="1"/>
  <c r="O121" i="1" s="1"/>
  <c r="L120" i="1"/>
  <c r="I46" i="1" l="1"/>
  <c r="G46" i="1" s="1"/>
  <c r="J47" i="1"/>
  <c r="K47" i="1" s="1"/>
  <c r="L119" i="1"/>
  <c r="I45" i="1" l="1"/>
  <c r="G45" i="1" s="1"/>
  <c r="J46" i="1"/>
  <c r="K46" i="1" s="1"/>
  <c r="I84" i="1"/>
  <c r="G84" i="1" s="1"/>
  <c r="J90" i="1"/>
  <c r="K90" i="1" s="1"/>
  <c r="M120" i="1"/>
  <c r="O120" i="1" s="1"/>
  <c r="L114" i="1"/>
  <c r="I123" i="1" l="1"/>
  <c r="G123" i="1" s="1"/>
  <c r="J84" i="1"/>
  <c r="K84" i="1" s="1"/>
  <c r="I37" i="1"/>
  <c r="G37" i="1" s="1"/>
  <c r="J45" i="1"/>
  <c r="K45" i="1" s="1"/>
  <c r="L48" i="1"/>
  <c r="M119" i="1"/>
  <c r="O119" i="1" s="1"/>
  <c r="L110" i="1"/>
  <c r="M114" i="1"/>
  <c r="O114" i="1" s="1"/>
  <c r="I32" i="1" l="1"/>
  <c r="G32" i="1" s="1"/>
  <c r="J37" i="1"/>
  <c r="K37" i="1" s="1"/>
  <c r="I24" i="1"/>
  <c r="G24" i="1" s="1"/>
  <c r="J123" i="1"/>
  <c r="K123" i="1" s="1"/>
  <c r="L90" i="1"/>
  <c r="L47" i="1"/>
  <c r="L105" i="1"/>
  <c r="M110" i="1"/>
  <c r="O110" i="1" s="1"/>
  <c r="I16" i="1" l="1"/>
  <c r="G16" i="1" s="1"/>
  <c r="J24" i="1"/>
  <c r="K24" i="1" s="1"/>
  <c r="I30" i="1"/>
  <c r="G30" i="1" s="1"/>
  <c r="J32" i="1"/>
  <c r="L84" i="1"/>
  <c r="M90" i="1"/>
  <c r="O90" i="1" s="1"/>
  <c r="L46" i="1"/>
  <c r="M47" i="1"/>
  <c r="O47" i="1" s="1"/>
  <c r="M48" i="1"/>
  <c r="O48" i="1" s="1"/>
  <c r="L31" i="1"/>
  <c r="M105" i="1"/>
  <c r="O105" i="1" s="1"/>
  <c r="L32" i="1" l="1"/>
  <c r="I26" i="1"/>
  <c r="G26" i="1" s="1"/>
  <c r="J30" i="1"/>
  <c r="K30" i="1" s="1"/>
  <c r="I14" i="1"/>
  <c r="G14" i="1" s="1"/>
  <c r="J16" i="1"/>
  <c r="L123" i="1"/>
  <c r="M84" i="1"/>
  <c r="O84" i="1" s="1"/>
  <c r="L45" i="1"/>
  <c r="K16" i="1" l="1"/>
  <c r="M16" i="1" s="1"/>
  <c r="I18" i="1"/>
  <c r="G18" i="1" s="1"/>
  <c r="J26" i="1"/>
  <c r="K26" i="1" s="1"/>
  <c r="I59" i="1"/>
  <c r="G59" i="1" s="1"/>
  <c r="L24" i="1"/>
  <c r="M123" i="1"/>
  <c r="O123" i="1" s="1"/>
  <c r="L37" i="1"/>
  <c r="M46" i="1"/>
  <c r="O46" i="1" s="1"/>
  <c r="M31" i="1"/>
  <c r="O31" i="1" s="1"/>
  <c r="J18" i="1" l="1"/>
  <c r="K18" i="1" s="1"/>
  <c r="J59" i="1"/>
  <c r="I57" i="1"/>
  <c r="G57" i="1" s="1"/>
  <c r="I13" i="1"/>
  <c r="G13" i="1" s="1"/>
  <c r="J14" i="1"/>
  <c r="L16" i="1"/>
  <c r="M24" i="1"/>
  <c r="O24" i="1" s="1"/>
  <c r="M45" i="1"/>
  <c r="O45" i="1" s="1"/>
  <c r="M37" i="1"/>
  <c r="O37" i="1" s="1"/>
  <c r="J57" i="1" l="1"/>
  <c r="K57" i="1" s="1"/>
  <c r="L57" i="1" s="1"/>
  <c r="K14" i="1"/>
  <c r="L14" i="1" s="1"/>
  <c r="K59" i="1"/>
  <c r="M59" i="1" s="1"/>
  <c r="O59" i="1" s="1"/>
  <c r="O16" i="1"/>
  <c r="L30" i="1"/>
  <c r="L59" i="1" l="1"/>
  <c r="M57" i="1"/>
  <c r="O57" i="1" s="1"/>
  <c r="M14" i="1"/>
  <c r="O14" i="1" s="1"/>
  <c r="M32" i="1"/>
  <c r="O32" i="1" s="1"/>
  <c r="L26" i="1"/>
  <c r="L11" i="1"/>
  <c r="I12" i="1" l="1"/>
  <c r="G12" i="1" s="1"/>
  <c r="J13" i="1"/>
  <c r="K13" i="1" s="1"/>
  <c r="L18" i="1"/>
  <c r="M30" i="1"/>
  <c r="O30" i="1" s="1"/>
  <c r="L10" i="1"/>
  <c r="M11" i="1"/>
  <c r="O11" i="1" s="1"/>
  <c r="I56" i="1" l="1"/>
  <c r="G56" i="1" s="1"/>
  <c r="J12" i="1"/>
  <c r="M26" i="1"/>
  <c r="O26" i="1" s="1"/>
  <c r="M18" i="1"/>
  <c r="O18" i="1" s="1"/>
  <c r="L8" i="1"/>
  <c r="M10" i="1"/>
  <c r="O10" i="1" s="1"/>
  <c r="K12" i="1" l="1"/>
  <c r="L12" i="1" s="1"/>
  <c r="M13" i="1"/>
  <c r="O13" i="1" s="1"/>
  <c r="L13" i="1"/>
  <c r="M12" i="1" l="1"/>
  <c r="O12" i="1" s="1"/>
  <c r="I55" i="1"/>
  <c r="G55" i="1" s="1"/>
  <c r="I7" i="1" s="1"/>
  <c r="G7" i="1" s="1"/>
  <c r="J56" i="1"/>
  <c r="M8" i="1"/>
  <c r="O8" i="1" s="1"/>
  <c r="J55" i="1" l="1"/>
  <c r="K55" i="1" s="1"/>
  <c r="K56" i="1"/>
  <c r="L56" i="1" s="1"/>
  <c r="J7" i="1" l="1"/>
  <c r="K7" i="1" s="1"/>
  <c r="M56" i="1"/>
  <c r="O56" i="1" s="1"/>
  <c r="M55" i="1"/>
  <c r="O55" i="1" s="1"/>
  <c r="L55" i="1"/>
  <c r="M7" i="1" l="1"/>
  <c r="O7" i="1" s="1"/>
  <c r="P7" i="1" s="1"/>
  <c r="R7" i="1" s="1"/>
  <c r="L7" i="1"/>
  <c r="N8" i="1" l="1"/>
  <c r="P8" i="1" s="1"/>
  <c r="R8" i="1" s="1"/>
  <c r="N55" i="1"/>
  <c r="P55" i="1" s="1"/>
  <c r="R55" i="1" s="1"/>
  <c r="N57" i="1" l="1"/>
  <c r="P57" i="1" s="1"/>
  <c r="R57" i="1" s="1"/>
  <c r="N56" i="1"/>
  <c r="P56" i="1" s="1"/>
  <c r="N12" i="1" s="1"/>
  <c r="P12" i="1" s="1"/>
  <c r="R12" i="1" s="1"/>
  <c r="N9" i="1"/>
  <c r="P9" i="1" s="1"/>
  <c r="R9" i="1" s="1"/>
  <c r="N10" i="1"/>
  <c r="R56" i="1" l="1"/>
  <c r="E3" i="2" s="1"/>
  <c r="N58" i="1"/>
  <c r="P58" i="1" s="1"/>
  <c r="R58" i="1" s="1"/>
  <c r="D4" i="2" s="1"/>
  <c r="N59" i="1"/>
  <c r="P59" i="1" s="1"/>
  <c r="R59" i="1" s="1"/>
  <c r="P10" i="1"/>
  <c r="R10" i="1" s="1"/>
  <c r="N60" i="1"/>
  <c r="P60" i="1" s="1"/>
  <c r="N62" i="1"/>
  <c r="P62" i="1" s="1"/>
  <c r="R62" i="1" s="1"/>
  <c r="N124" i="1" l="1"/>
  <c r="P124" i="1" s="1"/>
  <c r="R124" i="1" s="1"/>
  <c r="R60" i="1"/>
  <c r="E4" i="2" s="1"/>
  <c r="F4" i="2" s="1"/>
  <c r="N61" i="1"/>
  <c r="P61" i="1" s="1"/>
  <c r="R61" i="1" s="1"/>
  <c r="N11" i="1"/>
  <c r="P11" i="1" s="1"/>
  <c r="R11" i="1" s="1"/>
  <c r="D3" i="2" s="1"/>
  <c r="N63" i="1"/>
  <c r="P63" i="1" s="1"/>
  <c r="R63" i="1" s="1"/>
  <c r="N64" i="1"/>
  <c r="P64" i="1" s="1"/>
  <c r="R64" i="1" s="1"/>
  <c r="E6" i="2"/>
  <c r="N125" i="1" l="1"/>
  <c r="P125" i="1" s="1"/>
  <c r="R125" i="1" s="1"/>
  <c r="N65" i="1"/>
  <c r="P65" i="1" s="1"/>
  <c r="R65" i="1" s="1"/>
  <c r="N18" i="1"/>
  <c r="P18" i="1" s="1"/>
  <c r="R18" i="1" s="1"/>
  <c r="N13" i="1"/>
  <c r="G4" i="2"/>
  <c r="H4" i="2" s="1"/>
  <c r="F3" i="2"/>
  <c r="G3" i="2"/>
  <c r="N77" i="1" l="1"/>
  <c r="P77" i="1" s="1"/>
  <c r="R77" i="1" s="1"/>
  <c r="N68" i="1"/>
  <c r="P68" i="1" s="1"/>
  <c r="R68" i="1" s="1"/>
  <c r="P13" i="1"/>
  <c r="R13" i="1" s="1"/>
  <c r="N26" i="1"/>
  <c r="P26" i="1" s="1"/>
  <c r="R26" i="1" s="1"/>
  <c r="N19" i="1"/>
  <c r="P19" i="1" s="1"/>
  <c r="R19" i="1" s="1"/>
  <c r="N66" i="1"/>
  <c r="P66" i="1" s="1"/>
  <c r="R66" i="1" s="1"/>
  <c r="N67" i="1"/>
  <c r="H3" i="2"/>
  <c r="D5" i="2"/>
  <c r="N14" i="1" l="1"/>
  <c r="P14" i="1" s="1"/>
  <c r="R14" i="1" s="1"/>
  <c r="P67" i="1"/>
  <c r="R67" i="1" s="1"/>
  <c r="N73" i="1"/>
  <c r="P73" i="1" s="1"/>
  <c r="R73" i="1" s="1"/>
  <c r="N72" i="1"/>
  <c r="P72" i="1" s="1"/>
  <c r="R72" i="1" s="1"/>
  <c r="N27" i="1"/>
  <c r="P27" i="1" s="1"/>
  <c r="N30" i="1"/>
  <c r="P30" i="1" s="1"/>
  <c r="R30" i="1" s="1"/>
  <c r="N20" i="1"/>
  <c r="P20" i="1" s="1"/>
  <c r="R20" i="1" s="1"/>
  <c r="N21" i="1"/>
  <c r="N15" i="1" l="1"/>
  <c r="P15" i="1" s="1"/>
  <c r="R15" i="1" s="1"/>
  <c r="N16" i="1"/>
  <c r="P16" i="1" s="1"/>
  <c r="N28" i="1"/>
  <c r="P28" i="1" s="1"/>
  <c r="R28" i="1" s="1"/>
  <c r="R27" i="1"/>
  <c r="P21" i="1"/>
  <c r="R21" i="1" s="1"/>
  <c r="N23" i="1"/>
  <c r="P23" i="1" s="1"/>
  <c r="N22" i="1"/>
  <c r="P22" i="1" s="1"/>
  <c r="R22" i="1" s="1"/>
  <c r="N31" i="1"/>
  <c r="P31" i="1" s="1"/>
  <c r="R31" i="1" s="1"/>
  <c r="N32" i="1"/>
  <c r="P32" i="1" s="1"/>
  <c r="R32" i="1" s="1"/>
  <c r="D9" i="2"/>
  <c r="N29" i="1" l="1"/>
  <c r="P29" i="1" s="1"/>
  <c r="R29" i="1" s="1"/>
  <c r="N17" i="1"/>
  <c r="P17" i="1" s="1"/>
  <c r="R17" i="1" s="1"/>
  <c r="D11" i="2" s="1"/>
  <c r="D15" i="2"/>
  <c r="R23" i="1"/>
  <c r="N24" i="1"/>
  <c r="P24" i="1" s="1"/>
  <c r="R24" i="1" s="1"/>
  <c r="R16" i="1"/>
  <c r="D10" i="2" s="1"/>
  <c r="N33" i="1"/>
  <c r="P33" i="1" s="1"/>
  <c r="R33" i="1" s="1"/>
  <c r="N37" i="1"/>
  <c r="P37" i="1" s="1"/>
  <c r="R37" i="1" s="1"/>
  <c r="N127" i="1"/>
  <c r="N74" i="1"/>
  <c r="P74" i="1" s="1"/>
  <c r="R74" i="1" s="1"/>
  <c r="N75" i="1"/>
  <c r="D14" i="2"/>
  <c r="D6" i="2"/>
  <c r="G6" i="2" s="1"/>
  <c r="D7" i="2"/>
  <c r="E15" i="2"/>
  <c r="G15" i="2" l="1"/>
  <c r="N89" i="1"/>
  <c r="P89" i="1" s="1"/>
  <c r="R89" i="1" s="1"/>
  <c r="P75" i="1"/>
  <c r="R75" i="1" s="1"/>
  <c r="P127" i="1"/>
  <c r="N25" i="1"/>
  <c r="P25" i="1" s="1"/>
  <c r="R25" i="1" s="1"/>
  <c r="N123" i="1"/>
  <c r="P123" i="1" s="1"/>
  <c r="R123" i="1" s="1"/>
  <c r="N45" i="1"/>
  <c r="P45" i="1" s="1"/>
  <c r="R45" i="1" s="1"/>
  <c r="N38" i="1"/>
  <c r="P38" i="1" s="1"/>
  <c r="R38" i="1" s="1"/>
  <c r="N34" i="1"/>
  <c r="P34" i="1" s="1"/>
  <c r="R34" i="1" s="1"/>
  <c r="N35" i="1"/>
  <c r="E16" i="2"/>
  <c r="F6" i="2"/>
  <c r="H6" i="2" s="1"/>
  <c r="D21" i="2"/>
  <c r="D16" i="2"/>
  <c r="F15" i="2"/>
  <c r="E10" i="2"/>
  <c r="H15" i="2" l="1"/>
  <c r="N76" i="1"/>
  <c r="P76" i="1" s="1"/>
  <c r="R76" i="1" s="1"/>
  <c r="D22" i="2" s="1"/>
  <c r="N36" i="1"/>
  <c r="P36" i="1" s="1"/>
  <c r="R36" i="1" s="1"/>
  <c r="R127" i="1"/>
  <c r="D24" i="2" s="1"/>
  <c r="P35" i="1"/>
  <c r="N39" i="1"/>
  <c r="P39" i="1" s="1"/>
  <c r="R39" i="1" s="1"/>
  <c r="N40" i="1"/>
  <c r="P40" i="1" s="1"/>
  <c r="R40" i="1" s="1"/>
  <c r="N51" i="1"/>
  <c r="N46" i="1"/>
  <c r="N84" i="1"/>
  <c r="P84" i="1" s="1"/>
  <c r="R84" i="1" s="1"/>
  <c r="N78" i="1"/>
  <c r="P78" i="1" s="1"/>
  <c r="R78" i="1" s="1"/>
  <c r="E5" i="2"/>
  <c r="E24" i="2"/>
  <c r="F10" i="2"/>
  <c r="G10" i="2"/>
  <c r="E11" i="2"/>
  <c r="F16" i="2"/>
  <c r="G16" i="2"/>
  <c r="R35" i="1" l="1"/>
  <c r="D27" i="2" s="1"/>
  <c r="P46" i="1"/>
  <c r="R46" i="1" s="1"/>
  <c r="P51" i="1"/>
  <c r="R51" i="1" s="1"/>
  <c r="N90" i="1"/>
  <c r="P90" i="1" s="1"/>
  <c r="R90" i="1" s="1"/>
  <c r="N85" i="1"/>
  <c r="P85" i="1" s="1"/>
  <c r="N41" i="1"/>
  <c r="P41" i="1" s="1"/>
  <c r="N42" i="1"/>
  <c r="P42" i="1" s="1"/>
  <c r="R42" i="1" s="1"/>
  <c r="F24" i="2"/>
  <c r="G24" i="2"/>
  <c r="F5" i="2"/>
  <c r="G5" i="2"/>
  <c r="H16" i="2"/>
  <c r="H10" i="2"/>
  <c r="E12" i="2"/>
  <c r="F11" i="2"/>
  <c r="G11" i="2"/>
  <c r="N52" i="1" l="1"/>
  <c r="P52" i="1" s="1"/>
  <c r="R52" i="1" s="1"/>
  <c r="N86" i="1"/>
  <c r="P86" i="1" s="1"/>
  <c r="R86" i="1" s="1"/>
  <c r="R85" i="1"/>
  <c r="N47" i="1"/>
  <c r="P47" i="1" s="1"/>
  <c r="R47" i="1" s="1"/>
  <c r="N43" i="1"/>
  <c r="P43" i="1" s="1"/>
  <c r="R43" i="1" s="1"/>
  <c r="R41" i="1"/>
  <c r="E27" i="2" s="1"/>
  <c r="N69" i="1"/>
  <c r="P69" i="1" s="1"/>
  <c r="R69" i="1" s="1"/>
  <c r="N70" i="1"/>
  <c r="P70" i="1" s="1"/>
  <c r="R70" i="1" s="1"/>
  <c r="H24" i="2"/>
  <c r="H5" i="2"/>
  <c r="E17" i="2"/>
  <c r="H11" i="2"/>
  <c r="N44" i="1" l="1"/>
  <c r="P44" i="1" s="1"/>
  <c r="R44" i="1" s="1"/>
  <c r="N53" i="1"/>
  <c r="P53" i="1" s="1"/>
  <c r="N48" i="1"/>
  <c r="P48" i="1" s="1"/>
  <c r="R48" i="1" s="1"/>
  <c r="N49" i="1"/>
  <c r="P49" i="1" s="1"/>
  <c r="R49" i="1" s="1"/>
  <c r="N79" i="1"/>
  <c r="P79" i="1" s="1"/>
  <c r="R79" i="1" s="1"/>
  <c r="N80" i="1"/>
  <c r="N71" i="1"/>
  <c r="N128" i="1"/>
  <c r="P128" i="1" s="1"/>
  <c r="N87" i="1" s="1"/>
  <c r="P87" i="1" s="1"/>
  <c r="R87" i="1" s="1"/>
  <c r="F27" i="2"/>
  <c r="G27" i="2"/>
  <c r="D8" i="2"/>
  <c r="E7" i="2"/>
  <c r="E8" i="2"/>
  <c r="D12" i="2"/>
  <c r="D13" i="2"/>
  <c r="D32" i="2"/>
  <c r="E32" i="2"/>
  <c r="N126" i="1" l="1"/>
  <c r="P126" i="1" s="1"/>
  <c r="R126" i="1" s="1"/>
  <c r="N50" i="1"/>
  <c r="P50" i="1" s="1"/>
  <c r="R50" i="1" s="1"/>
  <c r="R53" i="1"/>
  <c r="N54" i="1"/>
  <c r="P54" i="1" s="1"/>
  <c r="R54" i="1" s="1"/>
  <c r="R128" i="1"/>
  <c r="N129" i="1"/>
  <c r="P129" i="1" s="1"/>
  <c r="N95" i="1" s="1"/>
  <c r="P95" i="1" s="1"/>
  <c r="R95" i="1" s="1"/>
  <c r="P71" i="1"/>
  <c r="P80" i="1"/>
  <c r="R80" i="1" s="1"/>
  <c r="H27" i="2"/>
  <c r="N81" i="1"/>
  <c r="P81" i="1" s="1"/>
  <c r="R81" i="1" s="1"/>
  <c r="N82" i="1"/>
  <c r="E18" i="2"/>
  <c r="E19" i="2"/>
  <c r="F12" i="2"/>
  <c r="G12" i="2"/>
  <c r="G8" i="2"/>
  <c r="F8" i="2"/>
  <c r="F7" i="2"/>
  <c r="G7" i="2"/>
  <c r="E13" i="2"/>
  <c r="G13" i="2" s="1"/>
  <c r="E20" i="2"/>
  <c r="F32" i="2"/>
  <c r="G32" i="2"/>
  <c r="N119" i="1" l="1"/>
  <c r="P119" i="1" s="1"/>
  <c r="R119" i="1" s="1"/>
  <c r="N115" i="1"/>
  <c r="P115" i="1" s="1"/>
  <c r="R115" i="1" s="1"/>
  <c r="R129" i="1"/>
  <c r="D23" i="2" s="1"/>
  <c r="N94" i="1"/>
  <c r="P94" i="1" s="1"/>
  <c r="R94" i="1" s="1"/>
  <c r="R71" i="1"/>
  <c r="E9" i="2" s="1"/>
  <c r="D17" i="2"/>
  <c r="D18" i="2"/>
  <c r="F18" i="2" s="1"/>
  <c r="P82" i="1"/>
  <c r="R82" i="1" s="1"/>
  <c r="D19" i="2" s="1"/>
  <c r="N83" i="1"/>
  <c r="P83" i="1" s="1"/>
  <c r="R83" i="1" s="1"/>
  <c r="E14" i="2"/>
  <c r="G14" i="2" s="1"/>
  <c r="H12" i="2"/>
  <c r="H7" i="2"/>
  <c r="H8" i="2"/>
  <c r="F13" i="2"/>
  <c r="H13" i="2" s="1"/>
  <c r="E34" i="2"/>
  <c r="H32" i="2"/>
  <c r="N116" i="1" l="1"/>
  <c r="P116" i="1" s="1"/>
  <c r="R116" i="1" s="1"/>
  <c r="N117" i="1"/>
  <c r="P117" i="1" s="1"/>
  <c r="G18" i="2"/>
  <c r="H18" i="2" s="1"/>
  <c r="F9" i="2"/>
  <c r="G9" i="2"/>
  <c r="N120" i="1"/>
  <c r="P120" i="1" s="1"/>
  <c r="F19" i="2"/>
  <c r="G19" i="2"/>
  <c r="G17" i="2"/>
  <c r="F17" i="2"/>
  <c r="N88" i="1"/>
  <c r="D20" i="2"/>
  <c r="F14" i="2"/>
  <c r="H14" i="2" s="1"/>
  <c r="D26" i="2"/>
  <c r="E22" i="2"/>
  <c r="E37" i="2"/>
  <c r="N118" i="1" l="1"/>
  <c r="P118" i="1" s="1"/>
  <c r="R118" i="1" s="1"/>
  <c r="D40" i="2" s="1"/>
  <c r="H19" i="2"/>
  <c r="H9" i="2"/>
  <c r="R120" i="1"/>
  <c r="E39" i="2" s="1"/>
  <c r="N121" i="1"/>
  <c r="P121" i="1" s="1"/>
  <c r="D37" i="2"/>
  <c r="G37" i="2" s="1"/>
  <c r="R117" i="1"/>
  <c r="P88" i="1"/>
  <c r="H17" i="2"/>
  <c r="N97" i="1"/>
  <c r="P97" i="1" s="1"/>
  <c r="R97" i="1" s="1"/>
  <c r="N96" i="1"/>
  <c r="P96" i="1" s="1"/>
  <c r="R96" i="1" s="1"/>
  <c r="N105" i="1"/>
  <c r="P105" i="1" s="1"/>
  <c r="R105" i="1" s="1"/>
  <c r="N91" i="1"/>
  <c r="P91" i="1" s="1"/>
  <c r="R91" i="1" s="1"/>
  <c r="F20" i="2"/>
  <c r="G20" i="2"/>
  <c r="F22" i="2"/>
  <c r="G22" i="2"/>
  <c r="E33" i="2"/>
  <c r="E35" i="2"/>
  <c r="F37" i="2" l="1"/>
  <c r="H37" i="2" s="1"/>
  <c r="R121" i="1"/>
  <c r="E40" i="2" s="1"/>
  <c r="G40" i="2" s="1"/>
  <c r="N122" i="1"/>
  <c r="P122" i="1" s="1"/>
  <c r="R122" i="1" s="1"/>
  <c r="R88" i="1"/>
  <c r="E21" i="2" s="1"/>
  <c r="H20" i="2"/>
  <c r="N101" i="1"/>
  <c r="P101" i="1" s="1"/>
  <c r="R101" i="1" s="1"/>
  <c r="N102" i="1"/>
  <c r="N98" i="1"/>
  <c r="P98" i="1" s="1"/>
  <c r="R98" i="1" s="1"/>
  <c r="N99" i="1"/>
  <c r="N92" i="1"/>
  <c r="N93" i="1"/>
  <c r="P93" i="1" s="1"/>
  <c r="N106" i="1"/>
  <c r="P106" i="1" s="1"/>
  <c r="R106" i="1" s="1"/>
  <c r="N110" i="1"/>
  <c r="P110" i="1" s="1"/>
  <c r="R110" i="1" s="1"/>
  <c r="H22" i="2"/>
  <c r="F40" i="2" l="1"/>
  <c r="H40" i="2" s="1"/>
  <c r="F21" i="2"/>
  <c r="G21" i="2"/>
  <c r="R93" i="1"/>
  <c r="D25" i="2" s="1"/>
  <c r="P102" i="1"/>
  <c r="R102" i="1" s="1"/>
  <c r="P92" i="1"/>
  <c r="P99" i="1"/>
  <c r="R99" i="1" s="1"/>
  <c r="N114" i="1"/>
  <c r="P114" i="1" s="1"/>
  <c r="R114" i="1" s="1"/>
  <c r="N111" i="1"/>
  <c r="P111" i="1" s="1"/>
  <c r="N107" i="1"/>
  <c r="N108" i="1"/>
  <c r="N103" i="1"/>
  <c r="P103" i="1" s="1"/>
  <c r="R103" i="1" s="1"/>
  <c r="D39" i="2"/>
  <c r="G39" i="2" s="1"/>
  <c r="D41" i="2"/>
  <c r="E25" i="2"/>
  <c r="H21" i="2" l="1"/>
  <c r="N100" i="1"/>
  <c r="P100" i="1" s="1"/>
  <c r="R100" i="1" s="1"/>
  <c r="E38" i="2" s="1"/>
  <c r="R92" i="1"/>
  <c r="E23" i="2" s="1"/>
  <c r="N112" i="1"/>
  <c r="P112" i="1" s="1"/>
  <c r="R112" i="1" s="1"/>
  <c r="R111" i="1"/>
  <c r="P108" i="1"/>
  <c r="P107" i="1"/>
  <c r="R107" i="1" s="1"/>
  <c r="E26" i="2" s="1"/>
  <c r="N104" i="1"/>
  <c r="F25" i="2"/>
  <c r="G25" i="2"/>
  <c r="F39" i="2"/>
  <c r="H39" i="2" s="1"/>
  <c r="D36" i="2"/>
  <c r="E36" i="2"/>
  <c r="E41" i="2"/>
  <c r="F41" i="2" s="1"/>
  <c r="D34" i="2"/>
  <c r="D28" i="2"/>
  <c r="N113" i="1" l="1"/>
  <c r="P113" i="1" s="1"/>
  <c r="R113" i="1" s="1"/>
  <c r="N109" i="1"/>
  <c r="P109" i="1" s="1"/>
  <c r="R109" i="1" s="1"/>
  <c r="D31" i="2" s="1"/>
  <c r="F23" i="2"/>
  <c r="G23" i="2"/>
  <c r="R108" i="1"/>
  <c r="E30" i="2" s="1"/>
  <c r="P104" i="1"/>
  <c r="F26" i="2"/>
  <c r="G26" i="2"/>
  <c r="H25" i="2"/>
  <c r="G36" i="2"/>
  <c r="F36" i="2"/>
  <c r="G41" i="2"/>
  <c r="H41" i="2" s="1"/>
  <c r="F34" i="2"/>
  <c r="G34" i="2"/>
  <c r="D29" i="2"/>
  <c r="E28" i="2"/>
  <c r="F28" i="2" s="1"/>
  <c r="D30" i="2"/>
  <c r="H23" i="2" l="1"/>
  <c r="R104" i="1"/>
  <c r="D38" i="2" s="1"/>
  <c r="H26" i="2"/>
  <c r="H36" i="2"/>
  <c r="H34" i="2"/>
  <c r="D33" i="2"/>
  <c r="G33" i="2" s="1"/>
  <c r="D35" i="2"/>
  <c r="E29" i="2"/>
  <c r="F29" i="2" s="1"/>
  <c r="E31" i="2"/>
  <c r="F31" i="2" s="1"/>
  <c r="G28" i="2"/>
  <c r="H28" i="2" s="1"/>
  <c r="F30" i="2"/>
  <c r="G30" i="2"/>
  <c r="G38" i="2" l="1"/>
  <c r="F38" i="2"/>
  <c r="F33" i="2"/>
  <c r="H33" i="2" s="1"/>
  <c r="G29" i="2"/>
  <c r="H29" i="2" s="1"/>
  <c r="F35" i="2"/>
  <c r="G35" i="2"/>
  <c r="G31" i="2"/>
  <c r="H31" i="2" s="1"/>
  <c r="H30" i="2"/>
  <c r="H38" i="2" l="1"/>
  <c r="H3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Phelipe Viana Ruiz</author>
    <author>tc={AD4054C0-8EB7-420D-8DC6-9DEAECBD5F29}</author>
    <author>tc={9069ED28-67CE-412F-9DBE-3B8BE01127CE}</author>
    <author>tc={873E6F0D-E303-4392-B79A-268B68A02FB2}</author>
    <author>tc={CEAC8001-F2AF-4D24-BB73-6070C689FD2D}</author>
    <author>tc={745FEF92-AFFF-4E78-90E2-1BFB3E009185}</author>
    <author>tc={70C11B80-1476-4BA8-92D6-EBC5607A3514}</author>
    <author>tc={59985D0F-2114-40A1-BF3D-293597BA8B76}</author>
    <author>tc={4A1EE928-440F-44A7-9F34-EB5A1D08D449}</author>
    <author>tc={D3D744E5-90EF-40B9-86C3-AB8C467110A6}</author>
    <author>tc={F166BF9A-41EF-405C-869C-A2B87BDFA365}</author>
    <author>tc={CF9B9169-6EE3-44E6-A8CF-00C8D8951AE7}</author>
    <author>tc={3E468BD2-FCB4-4DD7-8712-95773E06E8D6}</author>
    <author>tc={86EAB23D-C739-4A80-988D-F612601AECDF}</author>
  </authors>
  <commentList>
    <comment ref="A1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Phelipe Viana Ruiz:</t>
        </r>
        <r>
          <rPr>
            <sz val="9"/>
            <color indexed="81"/>
            <rFont val="Segoe UI"/>
            <family val="2"/>
          </rPr>
          <t xml:space="preserve">
Sintam-se à vontate para automatizar esta planilha base
Não tenham medo de tentar
Se necessário criem novas colunas e planilhas auxiliares, novas funções, fórmulas, macros. Há um imensidão de possíbilidades</t>
        </r>
      </text>
    </comment>
    <comment ref="L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Phelipe Viana Ruiz:</t>
        </r>
        <r>
          <rPr>
            <sz val="9"/>
            <color indexed="81"/>
            <rFont val="Segoe UI"/>
            <family val="2"/>
          </rPr>
          <t xml:space="preserve">
Definir o material da rede</t>
        </r>
      </text>
    </comment>
    <comment ref="O2" authorId="1" shapeId="0" xr:uid="{AD4054C0-8EB7-420D-8DC6-9DEAECBD5F2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Podem mover para outro lugar da planilha dependendo da forma que forem programar.</t>
      </text>
    </comment>
    <comment ref="L3" authorId="0" shapeId="0" xr:uid="{BCCB2DD3-CBD7-42EC-BD60-B64930D63287}">
      <text>
        <r>
          <rPr>
            <b/>
            <sz val="9"/>
            <color indexed="81"/>
            <rFont val="Segoe UI"/>
            <family val="2"/>
          </rPr>
          <t>Phelipe Viana Ruiz:</t>
        </r>
        <r>
          <rPr>
            <sz val="9"/>
            <color indexed="81"/>
            <rFont val="Segoe UI"/>
            <family val="2"/>
          </rPr>
          <t xml:space="preserve">
Fórmula inclusa na célula</t>
        </r>
      </text>
    </comment>
    <comment ref="J4" authorId="2" shapeId="0" xr:uid="{9069ED28-67CE-412F-9DBE-3B8BE01127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Não foi utilizado este valor de vazão de distribuição para encontrar o Qloteam.
Vazão de Distribuição / K2, ou seja, 17,55/1,5=11,7.</t>
      </text>
    </comment>
    <comment ref="J5" authorId="3" shapeId="0" xr:uid="{873E6F0D-E303-4392-B79A-268B68A02FB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Não foi identificada a vazão especial para encontrar a vazão de distribuição.</t>
      </text>
    </comment>
    <comment ref="T6" authorId="0" shapeId="0" xr:uid="{7DD234E9-559C-4127-A92C-D8DD4A868478}">
      <text>
        <r>
          <rPr>
            <b/>
            <sz val="9"/>
            <color indexed="81"/>
            <rFont val="Segoe UI"/>
            <family val="2"/>
          </rPr>
          <t>Phelipe Viana Ruiz:</t>
        </r>
        <r>
          <rPr>
            <sz val="9"/>
            <color indexed="81"/>
            <rFont val="Segoe UI"/>
            <family val="2"/>
          </rPr>
          <t xml:space="preserve">
Indicar quais são os trechos de maior e menor pressão, de alteração de diâmetro, entre outros ajustes.</t>
        </r>
      </text>
    </comment>
    <comment ref="K32" authorId="4" shapeId="0" xr:uid="{CEAC8001-F2AF-4D24-BB73-6070C689FD2D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Adotou-se uma perda de carga unitária máxima de 0,008 m/m como critério de dimensionamento. Para trechos em que os valores calculados na coluna M se aproximaram desse limite (a partir de 0,007 m/m), optou-se por aumentar o diâmetro da tubulação como medida de segurança, considerando que valores mais elevados indicam que o trecho está operando próximo à sua capacidade hidráulica máxima.  </t>
      </text>
    </comment>
    <comment ref="A52" authorId="5" shapeId="0" xr:uid="{745FEF92-AFFF-4E78-90E2-1BFB3E00918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Vazão Especial Qc1</t>
      </text>
    </comment>
    <comment ref="A59" authorId="6" shapeId="0" xr:uid="{70C11B80-1476-4BA8-92D6-EBC5607A3514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Adotou-se como critério de projeto a divisão dos nós com base na menor distância entre os pontos, visando otimizar o comprimento dos trechos e distribuir adequadamente as perdas de carga. Entretanto, o nó D não seguiu esse padrão, pois, durante a verificação das pressões ao longo da rede, foi necessária uma adequação no traçado para garantir a conformidade com os requisitos mínimos de pressão. Como resultado, o trecho correspondente ao nó D foi reposicionado e redefinido como não sendo "fim de trecho", a fim de assegurar o desempenho hidráulico do sistema. </t>
      </text>
    </comment>
    <comment ref="A63" authorId="7" shapeId="0" xr:uid="{59985D0F-2114-40A1-BF3D-293597BA8B7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Vazão Especial Qc2</t>
      </text>
    </comment>
    <comment ref="A66" authorId="8" shapeId="0" xr:uid="{4A1EE928-440F-44A7-9F34-EB5A1D08D44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Vazão Especial Qc3</t>
      </text>
    </comment>
    <comment ref="A70" authorId="9" shapeId="0" xr:uid="{D3D744E5-90EF-40B9-86C3-AB8C467110A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Trecho alterado a fim de ajustar a verificação de pressão.</t>
      </text>
    </comment>
    <comment ref="A78" authorId="10" shapeId="0" xr:uid="{F166BF9A-41EF-405C-869C-A2B87BDFA36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Trecho alterado a fim de ajustar a verificação de pressão.</t>
      </text>
    </comment>
    <comment ref="A79" authorId="11" shapeId="0" xr:uid="{CF9B9169-6EE3-44E6-A8CF-00C8D8951A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Trecho alterado a fim de ajustar a verificação de pressão.</t>
      </text>
    </comment>
    <comment ref="A80" authorId="12" shapeId="0" xr:uid="{3E468BD2-FCB4-4DD7-8712-95773E06E8D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Trecho alterado a fim de ajustar a verificação de pressão.</t>
      </text>
    </comment>
    <comment ref="K81" authorId="13" shapeId="0" xr:uid="{86EAB23D-C739-4A80-988D-F612601AECDF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Ajustamos manualmente o diâmetro para garantir o atendimento às verificações de pressão requeridas.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tc={616637E5-C80F-4C3F-AEC1-08C0C4B9B24E}</author>
    <author>tc={35356681-1C1B-4C34-B570-E447703928F3}</author>
    <author>tc={070444AE-AA39-455B-85AB-B62C03FA5813}</author>
  </authors>
  <commentList>
    <comment ref="A14" authorId="0" shapeId="0" xr:uid="{616637E5-C80F-4C3F-AEC1-08C0C4B9B24E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Após a alteração do sentido de fluxo no nó K, o nó L deixou de atender às verificações de pressão. Para corrigir essa inconformidade, realizamos ajustes manuais nas pressões. </t>
      </text>
    </comment>
    <comment ref="A19" authorId="1" shapeId="0" xr:uid="{35356681-1C1B-4C34-B570-E447703928F3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Inicialmente esse nó não passou na verificação de pressões. Após a mudança do nó K esse nó passou a satisfazer os critérios exigidos na verificação hidráulica. 
</t>
      </text>
    </comment>
    <comment ref="A20" authorId="2" shapeId="0" xr:uid="{070444AE-AA39-455B-85AB-B62C03FA5813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Inicialmente esse nó não passou na verificação de pressões. Após a mudança do nó K esse nó passou a satisfazer os critérios exigidos na verificação hidráulica. 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<sst xmlns="http://schemas.openxmlformats.org/spreadsheetml/2006/main" count="404" uniqueCount="135">
  <si>
    <t>DIMENSIONAMENTO DE REDE DE ÁGUA - RAMIFICADA OU SECCIONAMENTO FICTÍCIO</t>
  </si>
  <si>
    <t>Botão da phelicidade</t>
  </si>
  <si>
    <t>Pressão mínima</t>
  </si>
  <si>
    <t>mca</t>
  </si>
  <si>
    <t>Material da Tubulação=</t>
  </si>
  <si>
    <t>PVC</t>
  </si>
  <si>
    <t>Comp. Fict.Total=</t>
  </si>
  <si>
    <t>m</t>
  </si>
  <si>
    <t>Cotas do Reservatório</t>
  </si>
  <si>
    <t>Altura H</t>
  </si>
  <si>
    <t>CONTRATADA:</t>
  </si>
  <si>
    <t>ProInov Infraestrutura</t>
  </si>
  <si>
    <t>Diametro min.</t>
  </si>
  <si>
    <t>mm</t>
  </si>
  <si>
    <t>Coeficiente de Hazen-Williams=</t>
  </si>
  <si>
    <t>K1</t>
  </si>
  <si>
    <t>P</t>
  </si>
  <si>
    <t>Terreno=</t>
  </si>
  <si>
    <t>CONTRATANTE:</t>
  </si>
  <si>
    <t>Phelipe Viana Ruiz</t>
  </si>
  <si>
    <t>Vazão de Distribuição=</t>
  </si>
  <si>
    <t>l/s</t>
  </si>
  <si>
    <t>K2</t>
  </si>
  <si>
    <t>q</t>
  </si>
  <si>
    <t>NAmáx.=</t>
  </si>
  <si>
    <t xml:space="preserve">m </t>
  </si>
  <si>
    <t>Vazão de Distribuição Esp.=</t>
  </si>
  <si>
    <t>l/s.m</t>
  </si>
  <si>
    <t>NAmin.=</t>
  </si>
  <si>
    <t>Trecho</t>
  </si>
  <si>
    <t>Compr.
Real
(m)</t>
  </si>
  <si>
    <t>Abastece os dois lados?</t>
  </si>
  <si>
    <t>Compr.
Fictício
(m)</t>
  </si>
  <si>
    <t>Trecho montante</t>
  </si>
  <si>
    <t>Fim de trecho</t>
  </si>
  <si>
    <t>Vazão Montante
(l/s)</t>
  </si>
  <si>
    <t>Vazão Marcha
(l/s)</t>
  </si>
  <si>
    <t>Vazão Jusante
(l/s)</t>
  </si>
  <si>
    <t>Vazão Cálculo
(l/s)</t>
  </si>
  <si>
    <t>Diâmetro
(mm)</t>
  </si>
  <si>
    <t>Vel.
(m/s)</t>
  </si>
  <si>
    <t>Perda de Carga
Unitária
(m/m)</t>
  </si>
  <si>
    <t>Cota Piez.
Montante
(m)</t>
  </si>
  <si>
    <t>Perda de Carga
Total
(m)</t>
  </si>
  <si>
    <t>Cota Piez.
Jusante
(m)</t>
  </si>
  <si>
    <t>Cota do Terreno
Jusante
(m)</t>
  </si>
  <si>
    <t>Pressões de Jusante
Dinâmica
(mca)</t>
  </si>
  <si>
    <t>Pressões de Jusante
Estática
(mca)</t>
  </si>
  <si>
    <t>Obs.</t>
  </si>
  <si>
    <t>Nenhum</t>
  </si>
  <si>
    <t>Inicio</t>
  </si>
  <si>
    <t>Não</t>
  </si>
  <si>
    <t>Sim</t>
  </si>
  <si>
    <t> </t>
  </si>
  <si>
    <t/>
  </si>
  <si>
    <t>Comparador de Pressões - Método do Seccionamento Fictício</t>
  </si>
  <si>
    <t>Nó</t>
  </si>
  <si>
    <t>Trecho 01</t>
  </si>
  <si>
    <t>Trecho 02</t>
  </si>
  <si>
    <t>Pressão 01
 (mca)</t>
  </si>
  <si>
    <t>Pressão 02
 (mca)</t>
  </si>
  <si>
    <t>Pressão Média
(mca)</t>
  </si>
  <si>
    <t>Diferença (mca)</t>
  </si>
  <si>
    <t>Erro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</si>
  <si>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</si>
  <si>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</si>
  <si>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</si>
  <si>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</si>
  <si>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</si>
  <si>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</si>
  <si>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</si>
  <si>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</si>
  <si>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</si>
  <si>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</si>
  <si>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</si>
  <si>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</si>
  <si>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</si>
  <si>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</si>
  <si>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</si>
  <si>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</si>
  <si>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</si>
  <si>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</si>
  <si>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</si>
  <si>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</si>
  <si>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</si>
  <si>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</si>
  <si>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</si>
  <si>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</si>
  <si>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</si>
  <si>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</si>
  <si>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</si>
  <si>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</si>
  <si>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</si>
  <si>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</si>
  <si>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</si>
  <si>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</si>
  <si>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</si>
  <si>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</si>
  <si>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</si>
  <si>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</si>
  <si>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</si>
  <si>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</si>
  <si>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DADOS BASE</t>
  </si>
  <si>
    <t xml:space="preserve">RESERVATÓRIO </t>
  </si>
  <si>
    <t>Cota Terreno</t>
  </si>
  <si>
    <t>RT</t>
  </si>
  <si>
    <t>Diâmetro Ø</t>
  </si>
  <si>
    <t>RS</t>
  </si>
  <si>
    <t>RI</t>
  </si>
  <si>
    <t>H (D*0,5)</t>
  </si>
  <si>
    <t xml:space="preserve">Para Ø = 6 m </t>
  </si>
  <si>
    <t>N.A. Máx</t>
  </si>
  <si>
    <t>Folga Superior</t>
  </si>
  <si>
    <t>N.A. Mín.</t>
  </si>
  <si>
    <t>hs</t>
  </si>
  <si>
    <t>População</t>
  </si>
  <si>
    <t>hab</t>
  </si>
  <si>
    <t>HS</t>
  </si>
  <si>
    <t>-</t>
  </si>
  <si>
    <t>Folga Inferior</t>
  </si>
  <si>
    <t>hi</t>
  </si>
  <si>
    <t>l/hab.dia</t>
  </si>
  <si>
    <t>HI</t>
  </si>
  <si>
    <t>Reserva Sup</t>
  </si>
  <si>
    <t>m³</t>
  </si>
  <si>
    <t xml:space="preserve">Espessura </t>
  </si>
  <si>
    <t>Diametro</t>
  </si>
  <si>
    <t>Ferro Fundido</t>
  </si>
  <si>
    <t>Condicional</t>
  </si>
  <si>
    <t>Altura do resrvatório</t>
  </si>
  <si>
    <t>cm</t>
  </si>
  <si>
    <t>Vazões concentradas</t>
  </si>
  <si>
    <t>Qc1</t>
  </si>
  <si>
    <t>Qc2</t>
  </si>
  <si>
    <t>Qc3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</si>
</sst>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0.0000"/>
    <numFmt numFmtId="166" formatCode="0.0000000"/>
    <numFmt numFmtId="167" formatCode="0.000"/>
  </numFmts>
  <fonts count="13" x14ac:knownFonts="1">
    <font>
      <sz val="10"/>
      <name val="Arial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sz val="13.5"/>
      <color rgb="FF000000"/>
      <name val="Times New Roman"/>
      <family val="1"/>
    </font>
    <font>
      <sz val="10"/>
      <color theme="0"/>
      <name val="Arial"/>
      <family val="2"/>
    </font>
    <font>
      <sz val="14"/>
      <color rgb="FF00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12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2" fontId="4" fillId="2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/>
    </xf>
    <xf numFmtId="2" fontId="4" fillId="0" borderId="0" xfId="0" applyNumberFormat="1" applyFont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4" fillId="0" borderId="2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3" fillId="0" borderId="10" xfId="0" applyFont="1" applyBorder="1" applyAlignment="1">
      <alignment horizontal="center" vertical="center" wrapText="1"/>
    </xf>
    <xf numFmtId="2" fontId="3" fillId="0" borderId="10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10" fillId="0" borderId="0" xfId="0" applyFont="1"/>
    <xf numFmtId="0" fontId="2" fillId="0" borderId="0" xfId="0" applyFont="1"/>
    <xf numFmtId="0" fontId="2" fillId="0" borderId="0" xfId="1"/>
    <xf numFmtId="0" fontId="3" fillId="0" borderId="12" xfId="1" applyFont="1" applyBorder="1" applyAlignment="1">
      <alignment horizontal="left"/>
    </xf>
    <xf numFmtId="0" fontId="2" fillId="0" borderId="13" xfId="1" applyBorder="1" applyAlignment="1">
      <alignment horizontal="center"/>
    </xf>
    <xf numFmtId="0" fontId="2" fillId="0" borderId="14" xfId="1" applyBorder="1"/>
    <xf numFmtId="0" fontId="2" fillId="0" borderId="13" xfId="1" applyBorder="1" applyAlignment="1">
      <alignment horizontal="center" vertical="center"/>
    </xf>
    <xf numFmtId="0" fontId="3" fillId="0" borderId="15" xfId="1" applyFont="1" applyBorder="1" applyAlignment="1">
      <alignment horizontal="left"/>
    </xf>
    <xf numFmtId="0" fontId="2" fillId="0" borderId="15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2" xfId="1" applyBorder="1"/>
    <xf numFmtId="0" fontId="2" fillId="0" borderId="6" xfId="1" applyBorder="1" applyAlignment="1">
      <alignment horizontal="center" vertical="center"/>
    </xf>
    <xf numFmtId="0" fontId="2" fillId="0" borderId="3" xfId="1" applyBorder="1"/>
    <xf numFmtId="0" fontId="2" fillId="0" borderId="7" xfId="1" applyBorder="1" applyAlignment="1">
      <alignment horizontal="center" vertical="center"/>
    </xf>
    <xf numFmtId="9" fontId="2" fillId="0" borderId="15" xfId="1" applyNumberFormat="1" applyBorder="1" applyAlignment="1">
      <alignment horizontal="center"/>
    </xf>
    <xf numFmtId="0" fontId="3" fillId="0" borderId="10" xfId="1" applyFont="1" applyBorder="1" applyAlignment="1">
      <alignment horizontal="left"/>
    </xf>
    <xf numFmtId="0" fontId="2" fillId="0" borderId="10" xfId="1" applyBorder="1" applyAlignment="1">
      <alignment horizontal="center"/>
    </xf>
    <xf numFmtId="0" fontId="2" fillId="0" borderId="7" xfId="1" applyBorder="1" applyAlignment="1">
      <alignment horizontal="center"/>
    </xf>
    <xf numFmtId="2" fontId="2" fillId="0" borderId="15" xfId="1" applyNumberFormat="1" applyBorder="1" applyAlignment="1">
      <alignment horizontal="center"/>
    </xf>
    <xf numFmtId="2" fontId="2" fillId="0" borderId="12" xfId="1" applyNumberFormat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hidden="1"/>
    </xf>
    <xf numFmtId="2" fontId="2" fillId="0" borderId="1" xfId="0" applyNumberFormat="1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0" borderId="0" xfId="0" applyFont="1"/>
    <xf numFmtId="2" fontId="2" fillId="0" borderId="0" xfId="1" applyNumberFormat="1"/>
    <xf numFmtId="165" fontId="2" fillId="0" borderId="0" xfId="1" applyNumberFormat="1"/>
    <xf numFmtId="2" fontId="0" fillId="0" borderId="0" xfId="0" applyNumberFormat="1"/>
    <xf numFmtId="0" fontId="0" fillId="0" borderId="1" xfId="0" applyBorder="1"/>
    <xf numFmtId="2" fontId="9" fillId="6" borderId="1" xfId="0" applyNumberFormat="1" applyFont="1" applyFill="1" applyBorder="1" applyAlignment="1" applyProtection="1">
      <alignment horizontal="center" vertical="center" wrapText="1"/>
      <protection hidden="1"/>
    </xf>
    <xf numFmtId="2" fontId="9" fillId="6" borderId="1" xfId="0" applyNumberFormat="1" applyFont="1" applyFill="1" applyBorder="1" applyAlignment="1" applyProtection="1">
      <alignment horizontal="center" vertical="center"/>
      <protection hidden="1"/>
    </xf>
    <xf numFmtId="1" fontId="9" fillId="6" borderId="1" xfId="0" applyNumberFormat="1" applyFont="1" applyFill="1" applyBorder="1" applyAlignment="1" applyProtection="1">
      <alignment horizontal="center" vertical="center" wrapText="1"/>
      <protection hidden="1"/>
    </xf>
    <xf numFmtId="2" fontId="2" fillId="6" borderId="1" xfId="0" applyNumberFormat="1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2" fontId="5" fillId="7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1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0" borderId="11" xfId="0" applyBorder="1"/>
    <xf numFmtId="0" fontId="2" fillId="0" borderId="8" xfId="0" applyFont="1" applyBorder="1"/>
    <xf numFmtId="0" fontId="2" fillId="0" borderId="0" xfId="0" applyFont="1" applyProtection="1">
      <protection hidden="1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9" fillId="0" borderId="1" xfId="0" applyNumberFormat="1" applyFont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>
      <alignment horizontal="center" vertical="center"/>
    </xf>
    <xf numFmtId="166" fontId="9" fillId="6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quotePrefix="1" applyProtection="1">
      <protection hidden="1"/>
    </xf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0" applyNumberFormat="1" applyProtection="1">
      <protection hidden="1"/>
    </xf>
    <xf numFmtId="165" fontId="2" fillId="0" borderId="0" xfId="0" applyNumberFormat="1" applyFont="1"/>
    <xf numFmtId="165" fontId="0" fillId="0" borderId="0" xfId="0" applyNumberFormat="1"/>
    <xf numFmtId="165" fontId="8" fillId="0" borderId="0" xfId="0" applyNumberFormat="1" applyFont="1"/>
    <xf numFmtId="2" fontId="0" fillId="0" borderId="1" xfId="0" applyNumberFormat="1" applyBorder="1" applyAlignment="1" applyProtection="1">
      <alignment horizontal="center" vertical="center"/>
      <protection locked="0"/>
    </xf>
    <xf numFmtId="0" fontId="2" fillId="0" borderId="9" xfId="1" applyBorder="1"/>
    <xf numFmtId="0" fontId="2" fillId="0" borderId="5" xfId="1" applyBorder="1"/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167" fontId="0" fillId="0" borderId="1" xfId="0" applyNumberFormat="1" applyBorder="1" applyAlignment="1" applyProtection="1">
      <alignment horizontal="center" vertical="center"/>
      <protection locked="0"/>
    </xf>
    <xf numFmtId="167" fontId="2" fillId="3" borderId="1" xfId="0" applyNumberFormat="1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" fontId="9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/>
      <protection locked="0"/>
    </xf>
    <xf numFmtId="167" fontId="2" fillId="0" borderId="1" xfId="0" applyNumberFormat="1" applyFont="1" applyBorder="1" applyAlignment="1">
      <alignment horizontal="center" vertical="center"/>
    </xf>
    <xf numFmtId="167" fontId="2" fillId="0" borderId="1" xfId="0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2" fontId="2" fillId="5" borderId="1" xfId="0" applyNumberFormat="1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hidden="1"/>
    </xf>
    <xf numFmtId="2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hidden="1"/>
    </xf>
    <xf numFmtId="0" fontId="3" fillId="0" borderId="0" xfId="0" applyFont="1" applyAlignment="1">
      <alignment vertical="center"/>
    </xf>
    <xf numFmtId="0" fontId="2" fillId="5" borderId="0" xfId="0" applyFont="1" applyFill="1"/>
    <xf numFmtId="0" fontId="3" fillId="5" borderId="0" xfId="0" applyFont="1" applyFill="1" applyAlignment="1">
      <alignment horizontal="left" vertical="center"/>
    </xf>
    <xf numFmtId="2" fontId="4" fillId="5" borderId="0" xfId="0" applyNumberFormat="1" applyFont="1" applyFill="1" applyAlignment="1">
      <alignment horizontal="right" vertical="center"/>
    </xf>
    <xf numFmtId="2" fontId="4" fillId="5" borderId="0" xfId="0" applyNumberFormat="1" applyFont="1" applyFill="1" applyAlignment="1">
      <alignment horizontal="center" vertical="center"/>
    </xf>
    <xf numFmtId="0" fontId="1" fillId="5" borderId="6" xfId="0" applyFont="1" applyFill="1" applyBorder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7" borderId="5" xfId="1" applyFont="1" applyFill="1" applyBorder="1" applyAlignment="1">
      <alignment horizontal="center"/>
    </xf>
    <xf numFmtId="0" fontId="3" fillId="0" borderId="11" xfId="1" applyFont="1" applyBorder="1" applyAlignment="1">
      <alignment horizontal="center"/>
    </xf>
    <xf numFmtId="0" fontId="3" fillId="0" borderId="4" xfId="1" applyFont="1" applyBorder="1" applyAlignment="1">
      <alignment horizontal="center"/>
    </xf>
    <xf numFmtId="0" fontId="3" fillId="0" borderId="8" xfId="1" applyFont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0" xfId="0" applyFont="1" applyFill="1" applyAlignment="1">
      <alignment horizontal="center" vertical="center" wrapText="1"/>
    </xf>
  </cellXfs>
  <cellStyles count="2">
    <cellStyle name="Normal" xfId="0" builtinId="0"/>
    <cellStyle name="Normal 2" xfId="1" xr:uid="{39DA3B0C-EE02-4445-A637-653BC577EEB2}"/>
  </cellStyles>
  <dxfs count="22"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165" formatCode="0.00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0.00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0.00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0.00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0.00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59996337778862885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Cinza" pivot="0" count="3" xr9:uid="{525A58B9-E7DF-4C41-89F6-FD454353F3BE}">
      <tableStyleElement type="wholeTable" dxfId="21"/>
      <tableStyleElement type="headerRow" dxfId="20"/>
      <tableStyleElement type="firstRowStripe" dxfId="19"/>
    </tableStyle>
    <tableStyle name="Padrao" pivot="0" count="3" xr9:uid="{DB966851-8082-4D1A-9324-1E25D4C23686}">
      <tableStyleElement type="wholeTable" dxfId="18"/>
      <tableStyleElement type="headerRow" dxfId="17"/>
      <tableStyleElement type="secondRowStripe" dxfId="16"/>
    </tableStyle>
  </tableStyles>
  <colors>
    <mruColors>
      <color rgb="FF99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externalLink" Target="externalLinks/externalLink1.xml"/><Relationship Id="rId15" Type="http://schemas.openxmlformats.org/officeDocument/2006/relationships/calcChain" Target="calcChain.xml"/><Relationship Id="rId10" Type="http://schemas.microsoft.com/office/2022/10/relationships/richValueRel" Target="richData/richValueRel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152400</xdr:colOff>
      <xdr:row>27</xdr:row>
      <xdr:rowOff>47625</xdr:rowOff>
    </xdr:from>
    <xdr:to>
      <xdr:col>17</xdr:col>
      <xdr:colOff>152400</xdr:colOff>
      <xdr:row>46</xdr:row>
      <xdr:rowOff>95250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C848049-56FA-477F-2662-20040296544C}"/>
            </a:ext>
            <a:ext uri="{147F2762-F138-4A5C-976F-8EAC2B608ADB}">
              <a16:predDERef xmlns:a16="http://schemas.microsoft.com/office/drawing/2014/main" pred="{7AD6E58D-F66A-4A9F-934B-05E08F964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87100" y="7200900"/>
          <a:ext cx="0" cy="0"/>
        </a:xfrm>
        <a:prstGeom prst="rect">
          <a:avLst/>
        </a:prstGeom>
      </xdr:spPr>
    </xdr:pic>
    <xdr:clientData/>
  </xdr:twoCellAnchor>
  <xdr:twoCellAnchor editAs="oneCell">
    <xdr:from>
      <xdr:col>21</xdr:col>
      <xdr:colOff>107066</xdr:colOff>
      <xdr:row>2</xdr:row>
      <xdr:rowOff>53726</xdr:rowOff>
    </xdr:from>
    <xdr:to>
      <xdr:col>21</xdr:col>
      <xdr:colOff>645250</xdr:colOff>
      <xdr:row>4</xdr:row>
      <xdr:rowOff>134710</xdr:rowOff>
    </xdr:to>
    <xdr:pic macro="[0]!Aumentar">
      <xdr:nvPicPr>
        <xdr:cNvPr id="4" name="Imagem 3">
          <a:extLst>
            <a:ext uri="{FF2B5EF4-FFF2-40B4-BE49-F238E27FC236}">
              <a16:creationId xmlns:a16="http://schemas.microsoft.com/office/drawing/2014/main" id="{67A1AF4C-7622-1C53-64B5-D3E9977D6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874037" y="510926"/>
          <a:ext cx="538184" cy="538184"/>
        </a:xfrm>
        <a:prstGeom prst="rect">
          <a:avLst/>
        </a:prstGeom>
        <a:ln w="28575"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</xdr:pic>
    <xdr:clientData/>
  </xdr:twoCellAnchor>
  <xdr:twoCellAnchor editAs="oneCell">
    <xdr:from>
      <xdr:col>21</xdr:col>
      <xdr:colOff>87083</xdr:colOff>
      <xdr:row>5</xdr:row>
      <xdr:rowOff>0</xdr:rowOff>
    </xdr:from>
    <xdr:to>
      <xdr:col>21</xdr:col>
      <xdr:colOff>639854</xdr:colOff>
      <xdr:row>5</xdr:row>
      <xdr:rowOff>550957</xdr:rowOff>
    </xdr:to>
    <xdr:pic macro="[0]!Diminuir">
      <xdr:nvPicPr>
        <xdr:cNvPr id="6" name="Imagem 5">
          <a:extLst>
            <a:ext uri="{FF2B5EF4-FFF2-40B4-BE49-F238E27FC236}">
              <a16:creationId xmlns:a16="http://schemas.microsoft.com/office/drawing/2014/main" id="{67E21139-676A-1991-7D05-64C483F28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854054" y="1206137"/>
          <a:ext cx="552771" cy="552771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</xdr:pic>
    <xdr:clientData/>
  </xdr:twoCellAnchor>
  <xdr:twoCellAnchor>
    <xdr:from>
      <xdr:col>21</xdr:col>
      <xdr:colOff>903513</xdr:colOff>
      <xdr:row>2</xdr:row>
      <xdr:rowOff>108858</xdr:rowOff>
    </xdr:from>
    <xdr:to>
      <xdr:col>21</xdr:col>
      <xdr:colOff>1698172</xdr:colOff>
      <xdr:row>4</xdr:row>
      <xdr:rowOff>32658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3B879B-46CA-4BC3-0EAD-641E59AAA675}"/>
            </a:ext>
          </a:extLst>
        </xdr:cNvPr>
        <xdr:cNvSpPr/>
      </xdr:nvSpPr>
      <xdr:spPr>
        <a:xfrm>
          <a:off x="19670484" y="566058"/>
          <a:ext cx="794659" cy="38100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0"/>
            <a:t>+ 5 cm</a:t>
          </a:r>
        </a:p>
      </xdr:txBody>
    </xdr:sp>
    <xdr:clientData/>
  </xdr:twoCellAnchor>
  <xdr:twoCellAnchor>
    <xdr:from>
      <xdr:col>21</xdr:col>
      <xdr:colOff>881743</xdr:colOff>
      <xdr:row>5</xdr:row>
      <xdr:rowOff>87087</xdr:rowOff>
    </xdr:from>
    <xdr:to>
      <xdr:col>21</xdr:col>
      <xdr:colOff>1632857</xdr:colOff>
      <xdr:row>5</xdr:row>
      <xdr:rowOff>468087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EE1066BC-3999-4301-D618-D3874B643BAE}"/>
            </a:ext>
          </a:extLst>
        </xdr:cNvPr>
        <xdr:cNvSpPr/>
      </xdr:nvSpPr>
      <xdr:spPr>
        <a:xfrm>
          <a:off x="19648714" y="1295401"/>
          <a:ext cx="751114" cy="38100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0"/>
            <a:t>- 5 cm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https://pucc365-my.sharepoint.com/personal/isabella_ba1_puccampinas_edu_br/Documents/7&#186;%20SEMESTRE/7%20SEMESTRE%20EDUARDO/REDES%20URBANA%20DE%20&#193;GUA/Atividades%20Canvas/Atividade%2003%20-%20Reservat&#243;rios/Ativ3_EduardoMarangon_Redes_P101.xlsx?A3B77528" TargetMode="External"/><Relationship Id="rId1" Type="http://schemas.openxmlformats.org/officeDocument/2006/relationships/externalLinkPath" Target="file:///\\A3B77528\Ativ3_EduardoMarangon_Redes_P1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mensionamento "/>
      <sheetName val="VerificarPressao"/>
      <sheetName val="Reservatório"/>
    </sheetNames>
    <sheetDataSet>
      <sheetData sheetId="0"/>
      <sheetData sheetId="1"/>
      <sheetData sheetId="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Phelipe Viana Ruiz" id="{7E8F687B-4B61-4E41-8843-D3E50FBE0EF7}" userId="bdcb8b633aff3e0b" providerId="Windows Live"/>
  <person displayName="Felipe Grolla Freitas" id="{C2A77B40-5A5B-4D6C-82C3-3BC994567A12}" userId="S::candidato178006@fiap.com.br::58ec6ce4-b5e3-4196-8c6c-6ff809569a5b" providerId="AD"/>
  <person displayName="GIULIA LIMA MARCHEZAN" id="{8E60D394-DB9F-480C-836A-796E7C7378DE}" userId="S::giulia.lm1@puccampinas.edu.br::9971fce5-9c0b-4211-87b2-223f167db3c6" providerId="AD"/>
  <person displayName="RAFAELA SANTAREM ERNESTO" id="{2BD8121A-828C-44FE-B983-CFA2D4400C73}" userId="S::rafaela.se@puccampinas.edu.br::cdbd9b4f-c2c8-41f8-9c35-399892aba6ad" providerId="AD"/>
  <person displayName="ISABELLA BARBOS ALMEIDA" id="{2EDFBF85-32B0-4CD5-A201-A632C32FEB84}" userId="S::isabella.ba1@puccampinas.edu.br::4b2644a5-bbf3-4d8c-ad81-8ac40f9714b6" providerId="AD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7B8DB7-FE90-431A-B465-B2A474050CAC}" name="Tabela1" displayName="Tabela1" ref="A2:H41" totalsRowShown="0" headerRowDxfId="11" dataDxfId="9" headerRowBorderDxfId="10" tableBorderDxfId="8">
  <tableColumns count="8">
    <tableColumn id="1" xr3:uid="{F42E092E-F318-48D5-AF75-101CEA69E891}" name="Nó" dataDxfId="7"/>
    <tableColumn id="2" xr3:uid="{AF95B822-FFE2-4556-B6D7-2141B353A012}" name="Trecho 01" dataDxfId="6"/>
    <tableColumn id="3" xr3:uid="{61FAD433-704D-4EE8-B1E1-39E334E3AC7A}" name="Trecho 02" dataDxfId="5"/>
    <tableColumn id="4" xr3:uid="{44EFB240-3726-49DD-91B7-B7E5E38D5FD7}" name="Pressão 01_x000a_ (mca)" dataDxfId="4">
      <calculatedColumnFormula>VLOOKUP(Tabela1[[#This Row],[Trecho 01]],Dimensionamento!A:T,18)</calculatedColumnFormula>
    </tableColumn>
    <tableColumn id="5" xr3:uid="{A28F6249-4193-4461-B251-24661BA56B5C}" name="Pressão 02_x000a_ (mca)" dataDxfId="3">
      <calculatedColumnFormula>VLOOKUP(Tabela1[[#This Row],[Trecho 02]],Dimensionamento!A:T,18)</calculatedColumnFormula>
    </tableColumn>
    <tableColumn id="6" xr3:uid="{516A19A8-E55E-4051-A8B7-C4A15B74828D}" name="Pressão Média_x000a_(mca)" dataDxfId="2">
      <calculatedColumnFormula>(Tabela1[[#This Row],[Pressão 01
 (mca)]]+Tabela1[[#This Row],[Pressão 02
 (mca)]])/2</calculatedColumnFormula>
    </tableColumn>
    <tableColumn id="7" xr3:uid="{A5E1307D-C5E9-41D7-ABEF-66622D092FCE}" name="Diferença (mca)" dataDxfId="1">
      <calculatedColumnFormula>ABS(Tabela1[[#This Row],[Pressão 01
 (mca)]]-Tabela1[[#This Row],[Pressão 02
 (mca)]])</calculatedColumnFormula>
    </tableColumn>
    <tableColumn id="8" xr3:uid="{7F90E096-E0D5-4DFC-B391-E1283C3FDF81}" name="Erro" dataDxfId="0">
      <calculatedColumnFormula>(Tabela1[[#This Row],[Diferença (mca)]]/Tabela1[[#This Row],[Pressão Média
(mca)]])*100</calculatedColumnFormula>
    </tableColumn>
  </tableColumns>
  <tableStyleInfo name="Cinza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" dT="2022-02-09T13:33:21.62" personId="{7E8F687B-4B61-4E41-8843-D3E50FBE0EF7}" id="{AD4054C0-8EB7-420D-8DC6-9DEAECBD5F29}">
    <text>Podem mover para outro lugar da planilha dependendo da forma que forem programar.</text>
  </threadedComment>
  <threadedComment ref="J4" dT="2025-06-09T02:15:43.80" personId="{C2A77B40-5A5B-4D6C-82C3-3BC994567A12}" id="{9069ED28-67CE-412F-9DBE-3B8BE01127CE}">
    <text>Não foi utilizado este valor de vazão de distribuição para encontrar o Qloteam.
Vazão de Distribuição / K2, ou seja, 17,55/1,5=11,7.</text>
  </threadedComment>
  <threadedComment ref="J5" dT="2025-06-09T02:14:08.75" personId="{C2A77B40-5A5B-4D6C-82C3-3BC994567A12}" id="{873E6F0D-E303-4392-B79A-268B68A02FB2}">
    <text>Não foi identificada a vazão especial para encontrar a vazão de distribuição.</text>
  </threadedComment>
  <threadedComment ref="K32" dT="2025-05-25T19:36:04.31" personId="{2EDFBF85-32B0-4CD5-A201-A632C32FEB84}" id="{CEAC8001-F2AF-4D24-BB73-6070C689FD2D}">
    <text xml:space="preserve">Adotou-se uma perda de carga unitária máxima de 0,008 m/m como critério de dimensionamento. Para trechos em que os valores calculados na coluna M se aproximaram desse limite (a partir de 0,007 m/m), optou-se por aumentar o diâmetro da tubulação como medida de segurança, considerando que valores mais elevados indicam que o trecho está operando próximo à sua capacidade hidráulica máxima.  </text>
  </threadedComment>
  <threadedComment ref="A52" dT="2025-05-14T00:36:44.64" personId="{2BD8121A-828C-44FE-B983-CFA2D4400C73}" id="{745FEF92-AFFF-4E78-90E2-1BFB3E009185}">
    <text>Vazão Especial Qc1</text>
  </threadedComment>
  <threadedComment ref="A59" dT="2025-05-25T19:43:40.95" personId="{2EDFBF85-32B0-4CD5-A201-A632C32FEB84}" id="{70C11B80-1476-4BA8-92D6-EBC5607A3514}">
    <text xml:space="preserve">Adotou-se como critério de projeto a divisão dos nós com base na menor distância entre os pontos, visando otimizar o comprimento dos trechos e distribuir adequadamente as perdas de carga. Entretanto, o nó D não seguiu esse padrão, pois, durante a verificação das pressões ao longo da rede, foi necessária uma adequação no traçado para garantir a conformidade com os requisitos mínimos de pressão. Como resultado, o trecho correspondente ao nó D foi reposicionado e redefinido como não sendo "fim de trecho", a fim de assegurar o desempenho hidráulico do sistema. </text>
  </threadedComment>
  <threadedComment ref="A63" dT="2025-05-14T00:37:27.84" personId="{2BD8121A-828C-44FE-B983-CFA2D4400C73}" id="{59985D0F-2114-40A1-BF3D-293597BA8B76}">
    <text>Vazão Especial Qc2</text>
  </threadedComment>
  <threadedComment ref="A66" dT="2025-05-14T00:37:43.72" personId="{2BD8121A-828C-44FE-B983-CFA2D4400C73}" id="{4A1EE928-440F-44A7-9F34-EB5A1D08D449}">
    <text>Vazão Especial Qc3</text>
  </threadedComment>
  <threadedComment ref="A70" dT="2025-05-27T20:21:14.76" personId="{2EDFBF85-32B0-4CD5-A201-A632C32FEB84}" id="{D3D744E5-90EF-40B9-86C3-AB8C467110A6}">
    <text>Trecho alterado a fim de ajustar a verificação de pressão.</text>
  </threadedComment>
  <threadedComment ref="A78" dT="2025-05-27T20:21:19.45" personId="{2EDFBF85-32B0-4CD5-A201-A632C32FEB84}" id="{F166BF9A-41EF-405C-869C-A2B87BDFA365}">
    <text>Trecho alterado a fim de ajustar a verificação de pressão.</text>
  </threadedComment>
  <threadedComment ref="A79" dT="2025-05-27T20:21:23.73" personId="{2EDFBF85-32B0-4CD5-A201-A632C32FEB84}" id="{CF9B9169-6EE3-44E6-A8CF-00C8D8951AE7}">
    <text>Trecho alterado a fim de ajustar a verificação de pressão.</text>
  </threadedComment>
  <threadedComment ref="A80" dT="2025-05-27T20:21:27.47" personId="{2EDFBF85-32B0-4CD5-A201-A632C32FEB84}" id="{3E468BD2-FCB4-4DD7-8712-95773E06E8D6}">
    <text>Trecho alterado a fim de ajustar a verificação de pressão.</text>
  </threadedComment>
  <threadedComment ref="K81" dT="2025-05-26T23:24:26.63" personId="{8E60D394-DB9F-480C-836A-796E7C7378DE}" id="{86EAB23D-C739-4A80-988D-F612601AECDF}">
    <text xml:space="preserve">Ajustamos manualmente o diâmetro para garantir o atendimento às verificações de pressão requeridas.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4" dT="2025-05-26T23:39:18.90" personId="{8E60D394-DB9F-480C-836A-796E7C7378DE}" id="{616637E5-C80F-4C3F-AEC1-08C0C4B9B24E}">
    <text xml:space="preserve">Após a alteração do sentido de fluxo no nó K, o nó L deixou de atender às verificações de pressão. Para corrigir essa inconformidade, realizamos ajustes manuais nas pressões. </text>
  </threadedComment>
  <threadedComment ref="A19" dT="2025-05-26T23:33:02.25" personId="{8E60D394-DB9F-480C-836A-796E7C7378DE}" id="{35356681-1C1B-4C34-B570-E447703928F3}">
    <text xml:space="preserve">Inicialmente esse nó não passou na verificação de pressões. Após a mudança do nó K esse nó passou a satisfazer os critérios exigidos na verificação hidráulica. 
</text>
  </threadedComment>
  <threadedComment ref="A20" dT="2025-05-26T23:35:01.32" personId="{8E60D394-DB9F-480C-836A-796E7C7378DE}" id="{070444AE-AA39-455B-85AB-B62C03FA5813}">
    <text xml:space="preserve">Inicialmente esse nó não passou na verificação de pressões. Após a mudança do nó K esse nó passou a satisfazer os critérios exigidos na verificação hidráulica.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P129"/>
  <sheetViews>
    <sheetView showGridLines="0" tabSelected="1" zoomScale="90" zoomScaleNormal="90"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L9" sqref="L9"/>
    </sheetView>
  </sheetViews>
  <sheetFormatPr defaultColWidth="9.140625" defaultRowHeight="15.95" customHeight="1" outlineLevelRow="1" x14ac:dyDescent="0.2"/>
  <cols>
    <col min="1" max="1" width="15.28515625" style="1" customWidth="1"/>
    <col min="2" max="2" width="12.85546875" style="1" customWidth="1"/>
    <col min="3" max="3" width="19.85546875" style="1" customWidth="1"/>
    <col min="4" max="4" width="13.85546875" style="1" customWidth="1"/>
    <col min="5" max="6" width="12.28515625" style="1" customWidth="1"/>
    <col min="7" max="7" width="17.140625" style="1" customWidth="1"/>
    <col min="8" max="8" width="12.140625" style="1" customWidth="1"/>
    <col min="9" max="9" width="14.85546875" style="1" customWidth="1"/>
    <col min="10" max="10" width="16.85546875" style="1" customWidth="1"/>
    <col min="11" max="11" width="15.85546875" style="1" customWidth="1"/>
    <col min="12" max="12" width="12.140625" style="3" customWidth="1"/>
    <col min="13" max="13" width="13.28515625" style="1" customWidth="1"/>
    <col min="14" max="14" width="15.140625" style="1" customWidth="1"/>
    <col min="15" max="15" width="9.7109375" style="1" customWidth="1"/>
    <col min="16" max="17" width="10.140625" style="1" customWidth="1"/>
    <col min="18" max="19" width="12.5703125" style="1" customWidth="1"/>
    <col min="20" max="20" width="15.28515625" style="1" customWidth="1"/>
    <col min="21" max="21" width="2.28515625" style="1" customWidth="1"/>
    <col min="22" max="22" width="26.28515625" style="1" customWidth="1"/>
    <col min="23" max="23" width="12" style="1" customWidth="1"/>
    <col min="24" max="16384" width="9.140625" style="1"/>
  </cols>
  <sheetData>
    <row r="1" spans="1:38" ht="18" customHeight="1" x14ac:dyDescent="0.2">
      <c r="A1" s="105" t="s">
        <v>0</v>
      </c>
      <c r="B1" s="106"/>
      <c r="C1" s="106"/>
      <c r="D1" s="106"/>
      <c r="E1" s="106"/>
      <c r="F1" s="106"/>
      <c r="G1" s="106"/>
      <c r="H1" s="106"/>
      <c r="I1" s="107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8"/>
      <c r="U1"/>
      <c r="V1" s="56" t="s">
        <v>1</v>
      </c>
    </row>
    <row r="2" spans="1:38" ht="18" customHeight="1" outlineLevel="1" x14ac:dyDescent="0.2">
      <c r="A2" s="77"/>
      <c r="B2" s="77"/>
      <c r="C2" s="77"/>
      <c r="D2" s="112" t="e" vm="1">
        <v>#VALUE!</v>
      </c>
      <c r="E2" s="112"/>
      <c r="F2" s="15"/>
      <c r="G2" s="8" t="s">
        <v>2</v>
      </c>
      <c r="H2" s="6">
        <v>10</v>
      </c>
      <c r="I2" s="11" t="s">
        <v>3</v>
      </c>
      <c r="J2" s="7"/>
      <c r="K2" s="8" t="s">
        <v>4</v>
      </c>
      <c r="L2" s="36" t="s">
        <v>5</v>
      </c>
      <c r="M2" s="37"/>
      <c r="O2" s="38" t="s">
        <v>6</v>
      </c>
      <c r="P2" s="3">
        <f>SUM(D7:D129)</f>
        <v>4962.6105000000007</v>
      </c>
      <c r="Q2" s="11" t="s">
        <v>7</v>
      </c>
      <c r="R2" s="109" t="s">
        <v>8</v>
      </c>
      <c r="S2" s="110"/>
      <c r="T2" s="111"/>
      <c r="U2"/>
      <c r="V2" s="55" t="s">
        <v>9</v>
      </c>
      <c r="W2"/>
    </row>
    <row r="3" spans="1:38" ht="18" customHeight="1" outlineLevel="1" x14ac:dyDescent="0.2">
      <c r="A3" s="97" t="s">
        <v>10</v>
      </c>
      <c r="B3" t="s">
        <v>11</v>
      </c>
      <c r="C3" s="77"/>
      <c r="D3" s="113"/>
      <c r="E3" s="113"/>
      <c r="F3" s="15"/>
      <c r="G3" s="8" t="s">
        <v>12</v>
      </c>
      <c r="H3" s="6">
        <v>50</v>
      </c>
      <c r="I3" s="14" t="s">
        <v>13</v>
      </c>
      <c r="J3" s="7"/>
      <c r="K3" s="8" t="s">
        <v>14</v>
      </c>
      <c r="L3" s="3">
        <f>IF(L2="PVC",140,100)</f>
        <v>140</v>
      </c>
      <c r="M3" s="9"/>
      <c r="N3" t="s">
        <v>15</v>
      </c>
      <c r="O3">
        <v>1.34</v>
      </c>
      <c r="P3" t="s">
        <v>16</v>
      </c>
      <c r="Q3">
        <v>3430</v>
      </c>
      <c r="R3" s="10" t="s">
        <v>17</v>
      </c>
      <c r="S3" s="6">
        <v>880.95</v>
      </c>
      <c r="T3" s="9" t="s">
        <v>7</v>
      </c>
      <c r="V3" s="57"/>
    </row>
    <row r="4" spans="1:38" ht="18" customHeight="1" outlineLevel="1" x14ac:dyDescent="0.2">
      <c r="A4" s="97" t="s">
        <v>18</v>
      </c>
      <c r="B4" s="77" t="s">
        <v>19</v>
      </c>
      <c r="C4" s="77"/>
      <c r="D4" s="113"/>
      <c r="E4" s="113"/>
      <c r="F4" s="15"/>
      <c r="J4" s="99"/>
      <c r="K4" s="100" t="s">
        <v>20</v>
      </c>
      <c r="L4" s="101">
        <f>(O3*O4*Q3*(Q4/86400))</f>
        <v>17.554930555555561</v>
      </c>
      <c r="M4" s="102" t="s">
        <v>21</v>
      </c>
      <c r="N4" t="s">
        <v>22</v>
      </c>
      <c r="O4">
        <v>1.5</v>
      </c>
      <c r="P4" t="s">
        <v>23</v>
      </c>
      <c r="Q4">
        <v>220</v>
      </c>
      <c r="R4" s="10" t="s">
        <v>24</v>
      </c>
      <c r="S4" s="6">
        <f>S5+Reservatório!F7</f>
        <v>893.79000000000008</v>
      </c>
      <c r="T4" s="9" t="s">
        <v>25</v>
      </c>
      <c r="U4"/>
      <c r="V4" s="57"/>
      <c r="W4"/>
    </row>
    <row r="5" spans="1:38" ht="18" customHeight="1" outlineLevel="1" x14ac:dyDescent="0.2">
      <c r="A5" s="15"/>
      <c r="B5" s="15"/>
      <c r="C5" s="15"/>
      <c r="D5" s="113"/>
      <c r="E5" s="113"/>
      <c r="F5" s="15"/>
      <c r="G5" s="15"/>
      <c r="H5" s="15"/>
      <c r="I5" s="2"/>
      <c r="J5" s="103"/>
      <c r="K5" s="100" t="s">
        <v>26</v>
      </c>
      <c r="L5" s="104">
        <f>L4/P2</f>
        <v>3.537438724146406E-3</v>
      </c>
      <c r="M5" s="102" t="s">
        <v>27</v>
      </c>
      <c r="N5" t="s">
        <v>9</v>
      </c>
      <c r="O5" s="46">
        <f>Auxiliar!A21</f>
        <v>10.5</v>
      </c>
      <c r="P5" t="s">
        <v>7</v>
      </c>
      <c r="Q5"/>
      <c r="R5" s="10" t="s">
        <v>28</v>
      </c>
      <c r="S5" s="6">
        <f>S3+O5</f>
        <v>891.45</v>
      </c>
      <c r="T5" s="9" t="s">
        <v>7</v>
      </c>
      <c r="U5"/>
      <c r="V5" s="58"/>
    </row>
    <row r="6" spans="1:38" s="2" customFormat="1" ht="54" customHeight="1" x14ac:dyDescent="0.2">
      <c r="A6" s="53" t="s">
        <v>29</v>
      </c>
      <c r="B6" s="53" t="s">
        <v>30</v>
      </c>
      <c r="C6" s="53" t="s">
        <v>31</v>
      </c>
      <c r="D6" s="53" t="s">
        <v>32</v>
      </c>
      <c r="E6" s="53" t="s">
        <v>33</v>
      </c>
      <c r="F6" s="53" t="s">
        <v>34</v>
      </c>
      <c r="G6" s="53" t="s">
        <v>35</v>
      </c>
      <c r="H6" s="53" t="s">
        <v>36</v>
      </c>
      <c r="I6" s="53" t="s">
        <v>37</v>
      </c>
      <c r="J6" s="53" t="s">
        <v>38</v>
      </c>
      <c r="K6" s="53" t="s">
        <v>39</v>
      </c>
      <c r="L6" s="54" t="s">
        <v>40</v>
      </c>
      <c r="M6" s="53" t="s">
        <v>41</v>
      </c>
      <c r="N6" s="53" t="s">
        <v>42</v>
      </c>
      <c r="O6" s="53" t="s">
        <v>43</v>
      </c>
      <c r="P6" s="53" t="s">
        <v>44</v>
      </c>
      <c r="Q6" s="53" t="s">
        <v>45</v>
      </c>
      <c r="R6" s="53" t="s">
        <v>46</v>
      </c>
      <c r="S6" s="53" t="s">
        <v>47</v>
      </c>
      <c r="T6" s="53" t="s">
        <v>48</v>
      </c>
      <c r="U6" s="4"/>
      <c r="V6" s="59"/>
      <c r="W6" s="5"/>
      <c r="X6" s="5"/>
      <c r="Y6" s="5"/>
    </row>
    <row r="7" spans="1:38" s="2" customFormat="1" ht="18" customHeight="1" x14ac:dyDescent="0.3">
      <c r="A7" s="83">
        <v>1</v>
      </c>
      <c r="B7" s="84">
        <f>16.576+O5</f>
        <v>27.076000000000001</v>
      </c>
      <c r="C7" s="63" t="s">
        <v>49</v>
      </c>
      <c r="D7" s="80" cm="1">
        <f t="array" ref="D7">_xlfn.IFS(C7=Auxiliar!$A$15,B7,C7=Auxiliar!$A$16,B7/2,Dimensionamento!C7=Auxiliar!$A$17,0)</f>
        <v>0</v>
      </c>
      <c r="E7" s="83" t="s">
        <v>50</v>
      </c>
      <c r="F7" s="63" t="s">
        <v>51</v>
      </c>
      <c r="G7" s="49">
        <f>H7+I7</f>
        <v>22.354930555555558</v>
      </c>
      <c r="H7" s="49">
        <f>D7*$L$5</f>
        <v>0</v>
      </c>
      <c r="I7" s="51">
        <f>IF(F7="Sim",0,SUMIFS($G$7:$G$129,$E$7:$E$129,A7))</f>
        <v>22.354930555555558</v>
      </c>
      <c r="J7" s="49">
        <f>IF((G7+I7)/2&gt;0.6,(G7+I7)/2,0.6)</f>
        <v>22.354930555555558</v>
      </c>
      <c r="K7" s="50">
        <f ca="1">IFERROR(IF(OFFSET(Auxiliar!$A$1,MATCH(J7,IF($L$2="F.F.",Auxiliar!$C$1:$C$12,Auxiliar!$B$1:$B$12),1),0)&gt;$H$3,OFFSET(Auxiliar!$A$1,MATCH(J7,IF($L$2="F.F.",Auxiliar!$C$1:$C$12,Auxiliar!$B$1:$B$12),1),0),$H$3),$H$3)</f>
        <v>200</v>
      </c>
      <c r="L7" s="48">
        <f t="shared" ref="L7:L70" ca="1" si="0">(4000*J7)/(PI()*(K7^2))</f>
        <v>0.7115795400785434</v>
      </c>
      <c r="M7" s="66">
        <f ca="1">(10.641*((0.001*J7)^1.85))/(($L$3^1.85)*((0.001*K7)^4.87))</f>
        <v>2.5525258543851164E-3</v>
      </c>
      <c r="N7" s="51">
        <f>S5</f>
        <v>891.45</v>
      </c>
      <c r="O7" s="49">
        <f ca="1">M7*B7</f>
        <v>6.9112190033331411E-2</v>
      </c>
      <c r="P7" s="49">
        <f ca="1">N7-O7</f>
        <v>891.38088780996668</v>
      </c>
      <c r="Q7" s="64">
        <v>881.35</v>
      </c>
      <c r="R7" s="49">
        <f ca="1">P7-Q7</f>
        <v>10.030887809966657</v>
      </c>
      <c r="S7" s="49">
        <f>$S$4-Q7</f>
        <v>12.440000000000055</v>
      </c>
      <c r="T7" s="65" t="str">
        <f t="shared" ref="T7:T38" si="1">IF(S7=LARGE($S$7:$S$126,1),"Pressão Máx.",IF(S7=SMALL($S$7:$S$126,1),"Pressão Mín",""))</f>
        <v>Pressão Mín</v>
      </c>
      <c r="U7" s="43"/>
      <c r="V7" s="5"/>
      <c r="W7" s="5"/>
      <c r="X7" s="5"/>
      <c r="Y7" s="5"/>
    </row>
    <row r="8" spans="1:38" s="2" customFormat="1" ht="18" customHeight="1" x14ac:dyDescent="0.2">
      <c r="A8" s="83">
        <v>2</v>
      </c>
      <c r="B8" s="85">
        <v>28.335000000000001</v>
      </c>
      <c r="C8" s="63" t="s">
        <v>52</v>
      </c>
      <c r="D8" s="80" cm="1">
        <f t="array" ref="D8">_xlfn.IFS(C8=Auxiliar!$A$15,B8,C8=Auxiliar!$A$16,B8/2,Dimensionamento!C8=Auxiliar!$A$17,0)</f>
        <v>28.335000000000001</v>
      </c>
      <c r="E8" s="86">
        <v>1</v>
      </c>
      <c r="F8" s="63" t="s">
        <v>51</v>
      </c>
      <c r="G8" s="49">
        <f t="shared" ref="G8:G38" si="2">H8+I8</f>
        <v>5.3274317118830128</v>
      </c>
      <c r="H8" s="49">
        <f t="shared" ref="H8:H51" si="3">D8*$L$5</f>
        <v>0.10023332624868841</v>
      </c>
      <c r="I8" s="51">
        <f t="shared" ref="I8:I71" si="4">IF(F8="Sim",0,SUMIFS($G$7:$G$129,$E$7:$E$129,A8))</f>
        <v>5.227198385634324</v>
      </c>
      <c r="J8" s="49">
        <f t="shared" ref="J8:J71" si="5">IF((G8+I8)/2&gt;0.6,(G8+I8)/2,0.6)</f>
        <v>5.277315048758668</v>
      </c>
      <c r="K8" s="50">
        <f ca="1">IFERROR(IF(OFFSET(Auxiliar!$A$1,MATCH(J8,IF($L$2="F.F.",Auxiliar!$C$1:$C$12,Auxiliar!$B$1:$B$12),1),0)&gt;$H$3,OFFSET(Auxiliar!$A$1,MATCH(J8,IF($L$2="F.F.",Auxiliar!$C$1:$C$12,Auxiliar!$B$1:$B$12),1),0),$H$3),$H$3)</f>
        <v>100</v>
      </c>
      <c r="L8" s="48">
        <f t="shared" ca="1" si="0"/>
        <v>0.67192862101055095</v>
      </c>
      <c r="M8" s="66">
        <f t="shared" ref="M8:M13" ca="1" si="6">(10.641*((0.001*J8)^1.85))/(($L$3^1.85)*((0.001*K8)^4.87))</f>
        <v>5.1654679048606499E-3</v>
      </c>
      <c r="N8" s="52">
        <f ca="1">VLOOKUP(E8,$A$7:$T$129,16,)</f>
        <v>891.38088780996668</v>
      </c>
      <c r="O8" s="49">
        <f t="shared" ref="O8:O71" ca="1" si="7">M8*B8</f>
        <v>0.14636353308422653</v>
      </c>
      <c r="P8" s="49">
        <f t="shared" ref="P8:P71" ca="1" si="8">N8-O8</f>
        <v>891.23452427688244</v>
      </c>
      <c r="Q8" s="64">
        <v>879.73</v>
      </c>
      <c r="R8" s="49">
        <f t="shared" ref="R8:R71" ca="1" si="9">P8-Q8</f>
        <v>11.504524276882421</v>
      </c>
      <c r="S8" s="49">
        <f t="shared" ref="S8:S71" si="10">$S$4-Q8</f>
        <v>14.060000000000059</v>
      </c>
      <c r="T8" s="65" t="str">
        <f t="shared" si="1"/>
        <v/>
      </c>
      <c r="U8"/>
      <c r="W8" s="5"/>
      <c r="X8" s="5"/>
      <c r="Y8" s="5"/>
    </row>
    <row r="9" spans="1:38" s="2" customFormat="1" ht="18" customHeight="1" x14ac:dyDescent="0.2">
      <c r="A9" s="83">
        <v>3</v>
      </c>
      <c r="B9" s="85">
        <v>185.17</v>
      </c>
      <c r="C9" s="63" t="s">
        <v>51</v>
      </c>
      <c r="D9" s="80" cm="1">
        <f t="array" ref="D9">_xlfn.IFS(C9=Auxiliar!$A$15,B9,C9=Auxiliar!$A$16,B9/2,Dimensionamento!C9=Auxiliar!$A$17,0)</f>
        <v>92.584999999999994</v>
      </c>
      <c r="E9" s="86">
        <v>2</v>
      </c>
      <c r="F9" s="63" t="s">
        <v>51</v>
      </c>
      <c r="G9" s="49">
        <f t="shared" si="2"/>
        <v>5.1016193109271271</v>
      </c>
      <c r="H9" s="49">
        <f t="shared" si="3"/>
        <v>0.32751376427509499</v>
      </c>
      <c r="I9" s="51">
        <f t="shared" si="4"/>
        <v>4.7741055466520317</v>
      </c>
      <c r="J9" s="49">
        <f t="shared" si="5"/>
        <v>4.9378624287895789</v>
      </c>
      <c r="K9" s="50">
        <f ca="1">IFERROR(IF(OFFSET(Auxiliar!$A$1,MATCH(J9,IF($L$2="F.F.",Auxiliar!$C$1:$C$12,Auxiliar!$B$1:$B$12),1),0)&gt;$H$3,OFFSET(Auxiliar!$A$1,MATCH(J9,IF($L$2="F.F.",Auxiliar!$C$1:$C$12,Auxiliar!$B$1:$B$12),1),0),$H$3),$H$3)</f>
        <v>100</v>
      </c>
      <c r="L9" s="48">
        <f t="shared" ca="1" si="0"/>
        <v>0.62870817107969079</v>
      </c>
      <c r="M9" s="66">
        <f t="shared" ca="1" si="6"/>
        <v>4.5676487711443954E-3</v>
      </c>
      <c r="N9" s="52">
        <f t="shared" ref="N9:N72" ca="1" si="11">VLOOKUP(E9,$A$7:$T$129,16,)</f>
        <v>891.23452427688244</v>
      </c>
      <c r="O9" s="49">
        <f t="shared" ca="1" si="7"/>
        <v>0.84579152295280768</v>
      </c>
      <c r="P9" s="49">
        <f t="shared" ca="1" si="8"/>
        <v>890.38873275392962</v>
      </c>
      <c r="Q9" s="64">
        <v>873.6</v>
      </c>
      <c r="R9" s="49">
        <f t="shared" ca="1" si="9"/>
        <v>16.788732753929594</v>
      </c>
      <c r="S9" s="49">
        <f t="shared" si="10"/>
        <v>20.190000000000055</v>
      </c>
      <c r="T9" s="65" t="str">
        <f t="shared" si="1"/>
        <v/>
      </c>
      <c r="U9" s="4"/>
      <c r="V9" s="5"/>
      <c r="W9" s="5"/>
      <c r="X9" s="5"/>
      <c r="Y9" s="5"/>
    </row>
    <row r="10" spans="1:38" s="2" customFormat="1" ht="18" customHeight="1" x14ac:dyDescent="0.2">
      <c r="A10" s="83">
        <v>4</v>
      </c>
      <c r="B10" s="85">
        <v>71</v>
      </c>
      <c r="C10" s="63" t="s">
        <v>51</v>
      </c>
      <c r="D10" s="80" cm="1">
        <f t="array" ref="D10">_xlfn.IFS(C10=Auxiliar!$A$15,B10,C10=Auxiliar!$A$16,B10/2,Dimensionamento!C10=Auxiliar!$A$17,0)</f>
        <v>35.5</v>
      </c>
      <c r="E10" s="86">
        <v>2</v>
      </c>
      <c r="F10" s="63" t="s">
        <v>51</v>
      </c>
      <c r="G10" s="49">
        <f t="shared" si="2"/>
        <v>0.12557907470719742</v>
      </c>
      <c r="H10" s="49">
        <f t="shared" si="3"/>
        <v>0.12557907470719742</v>
      </c>
      <c r="I10" s="51">
        <f t="shared" si="4"/>
        <v>0</v>
      </c>
      <c r="J10" s="49">
        <f t="shared" si="5"/>
        <v>0.6</v>
      </c>
      <c r="K10" s="50">
        <f ca="1">IFERROR(IF(OFFSET(Auxiliar!$A$1,MATCH(J10,IF($L$2="F.F.",Auxiliar!$C$1:$C$12,Auxiliar!$B$1:$B$12),1),0)&gt;$H$3,OFFSET(Auxiliar!$A$1,MATCH(J10,IF($L$2="F.F.",Auxiliar!$C$1:$C$12,Auxiliar!$B$1:$B$12),1),0),$H$3),$H$3)</f>
        <v>50</v>
      </c>
      <c r="L10" s="48">
        <f t="shared" ca="1" si="0"/>
        <v>0.30557749073643903</v>
      </c>
      <c r="M10" s="66">
        <f t="shared" ca="1" si="6"/>
        <v>2.7054621926271396E-3</v>
      </c>
      <c r="N10" s="52">
        <f t="shared" ca="1" si="11"/>
        <v>891.23452427688244</v>
      </c>
      <c r="O10" s="49">
        <f t="shared" ca="1" si="7"/>
        <v>0.19208781567652691</v>
      </c>
      <c r="P10" s="49">
        <f t="shared" ca="1" si="8"/>
        <v>891.04243646120597</v>
      </c>
      <c r="Q10" s="64">
        <v>881.02</v>
      </c>
      <c r="R10" s="49">
        <f t="shared" ca="1" si="9"/>
        <v>10.022436461205984</v>
      </c>
      <c r="S10" s="49">
        <f t="shared" si="10"/>
        <v>12.770000000000095</v>
      </c>
      <c r="T10" s="65" t="str">
        <f t="shared" si="1"/>
        <v/>
      </c>
      <c r="U10" s="4"/>
      <c r="V10" s="70"/>
      <c r="W10" s="5"/>
      <c r="X10" s="5"/>
      <c r="Y10" s="5"/>
    </row>
    <row r="11" spans="1:38" s="2" customFormat="1" ht="18" customHeight="1" x14ac:dyDescent="0.25">
      <c r="A11" s="83">
        <v>5</v>
      </c>
      <c r="B11" s="85">
        <v>48.34</v>
      </c>
      <c r="C11" s="63" t="s">
        <v>49</v>
      </c>
      <c r="D11" s="80" cm="1">
        <f t="array" ref="D11">_xlfn.IFS(C11=Auxiliar!$A$15,B11,C11=Auxiliar!$A$16,B11/2,Dimensionamento!C11=Auxiliar!$A$17,0)</f>
        <v>0</v>
      </c>
      <c r="E11" s="86">
        <v>4</v>
      </c>
      <c r="F11" s="63" t="s">
        <v>52</v>
      </c>
      <c r="G11" s="49">
        <f t="shared" si="2"/>
        <v>0</v>
      </c>
      <c r="H11" s="49">
        <f t="shared" si="3"/>
        <v>0</v>
      </c>
      <c r="I11" s="51">
        <f t="shared" si="4"/>
        <v>0</v>
      </c>
      <c r="J11" s="49">
        <f t="shared" si="5"/>
        <v>0.6</v>
      </c>
      <c r="K11" s="50">
        <f ca="1">IFERROR(IF(OFFSET(Auxiliar!$A$1,MATCH(J11,IF($L$2="F.F.",Auxiliar!$C$1:$C$12,Auxiliar!$B$1:$B$12),1),0)&gt;$H$3,OFFSET(Auxiliar!$A$1,MATCH(J11,IF($L$2="F.F.",Auxiliar!$C$1:$C$12,Auxiliar!$B$1:$B$12),1),0),$H$3),$H$3)</f>
        <v>50</v>
      </c>
      <c r="L11" s="48">
        <f t="shared" ca="1" si="0"/>
        <v>0.30557749073643903</v>
      </c>
      <c r="M11" s="66">
        <f t="shared" ca="1" si="6"/>
        <v>2.7054621926271396E-3</v>
      </c>
      <c r="N11" s="52">
        <f t="shared" ca="1" si="11"/>
        <v>891.04243646120597</v>
      </c>
      <c r="O11" s="49">
        <f t="shared" ca="1" si="7"/>
        <v>0.13078204239159594</v>
      </c>
      <c r="P11" s="49">
        <f t="shared" ca="1" si="8"/>
        <v>890.91165441881435</v>
      </c>
      <c r="Q11" s="64">
        <v>878.32</v>
      </c>
      <c r="R11" s="49">
        <f t="shared" ca="1" si="9"/>
        <v>12.591654418814301</v>
      </c>
      <c r="S11" s="49">
        <f t="shared" si="10"/>
        <v>15.470000000000027</v>
      </c>
      <c r="T11" s="65" t="str">
        <f t="shared" si="1"/>
        <v/>
      </c>
      <c r="U11" s="4"/>
      <c r="V11" s="5"/>
      <c r="W11" s="5"/>
      <c r="X11" s="5"/>
      <c r="Y11" s="5"/>
      <c r="AL11" s="16" t="s">
        <v>53</v>
      </c>
    </row>
    <row r="12" spans="1:38" s="2" customFormat="1" ht="18" customHeight="1" x14ac:dyDescent="0.2">
      <c r="A12" s="83">
        <v>6</v>
      </c>
      <c r="B12" s="85">
        <v>51</v>
      </c>
      <c r="C12" s="63" t="s">
        <v>49</v>
      </c>
      <c r="D12" s="80" cm="1">
        <f t="array" ref="D12">_xlfn.IFS(C12=Auxiliar!$A$15,B12,C12=Auxiliar!$A$16,B12/2,Dimensionamento!C12=Auxiliar!$A$17,0)</f>
        <v>0</v>
      </c>
      <c r="E12" s="86">
        <v>50</v>
      </c>
      <c r="F12" s="63" t="s">
        <v>51</v>
      </c>
      <c r="G12" s="49">
        <f t="shared" si="2"/>
        <v>8.6484402552808</v>
      </c>
      <c r="H12" s="49">
        <f t="shared" si="3"/>
        <v>0</v>
      </c>
      <c r="I12" s="51">
        <f t="shared" si="4"/>
        <v>8.6484402552808</v>
      </c>
      <c r="J12" s="49">
        <f t="shared" si="5"/>
        <v>8.6484402552808</v>
      </c>
      <c r="K12" s="50">
        <f ca="1">IFERROR(IF(OFFSET(Auxiliar!$A$1,MATCH(J12,IF($L$2="F.F.",Auxiliar!$C$1:$C$12,Auxiliar!$B$1:$B$12),1),0)&gt;$H$3,OFFSET(Auxiliar!$A$1,MATCH(J12,IF($L$2="F.F.",Auxiliar!$C$1:$C$12,Auxiliar!$B$1:$B$12),1),0),$H$3),$H$3)</f>
        <v>125</v>
      </c>
      <c r="L12" s="48">
        <f t="shared" ca="1" si="0"/>
        <v>0.70473831253139085</v>
      </c>
      <c r="M12" s="66">
        <f t="shared" ca="1" si="6"/>
        <v>4.3453896397319452E-3</v>
      </c>
      <c r="N12" s="52">
        <f t="shared" ca="1" si="11"/>
        <v>890.9392369144947</v>
      </c>
      <c r="O12" s="49">
        <f t="shared" ca="1" si="7"/>
        <v>0.2216148716263292</v>
      </c>
      <c r="P12" s="49">
        <f t="shared" ca="1" si="8"/>
        <v>890.71762204286836</v>
      </c>
      <c r="Q12" s="64">
        <v>875.45</v>
      </c>
      <c r="R12" s="49">
        <f t="shared" ca="1" si="9"/>
        <v>15.267622042868311</v>
      </c>
      <c r="S12" s="49">
        <f t="shared" si="10"/>
        <v>18.340000000000032</v>
      </c>
      <c r="T12" s="65" t="str">
        <f t="shared" si="1"/>
        <v/>
      </c>
      <c r="U12" s="4"/>
      <c r="V12" s="5"/>
      <c r="W12" s="5"/>
      <c r="X12" s="5"/>
      <c r="Y12" s="5"/>
    </row>
    <row r="13" spans="1:38" s="2" customFormat="1" ht="18" customHeight="1" x14ac:dyDescent="0.2">
      <c r="A13" s="83">
        <v>7</v>
      </c>
      <c r="B13" s="79">
        <v>128.34</v>
      </c>
      <c r="C13" s="74" t="s">
        <v>52</v>
      </c>
      <c r="D13" s="80" cm="1">
        <f t="array" ref="D13">_xlfn.IFS(C13=Auxiliar!$A$15,B13,C13=Auxiliar!$A$16,B13/2,Dimensionamento!C13=Auxiliar!$A$17,0)</f>
        <v>128.34</v>
      </c>
      <c r="E13" s="87">
        <v>6</v>
      </c>
      <c r="F13" s="74" t="s">
        <v>52</v>
      </c>
      <c r="G13" s="49">
        <f t="shared" si="2"/>
        <v>0.45399488585694975</v>
      </c>
      <c r="H13" s="49">
        <f t="shared" si="3"/>
        <v>0.45399488585694975</v>
      </c>
      <c r="I13" s="51">
        <f t="shared" si="4"/>
        <v>0</v>
      </c>
      <c r="J13" s="49">
        <f t="shared" si="5"/>
        <v>0.6</v>
      </c>
      <c r="K13" s="50">
        <f ca="1">IFERROR(IF(OFFSET(Auxiliar!$A$1,MATCH(J13,IF($L$2="F.F.",Auxiliar!$C$1:$C$12,Auxiliar!$B$1:$B$12),1),0)&gt;$H$3,OFFSET(Auxiliar!$A$1,MATCH(J13,IF($L$2="F.F.",Auxiliar!$C$1:$C$12,Auxiliar!$B$1:$B$12),1),0),$H$3),$H$3)</f>
        <v>50</v>
      </c>
      <c r="L13" s="48">
        <f t="shared" ca="1" si="0"/>
        <v>0.30557749073643903</v>
      </c>
      <c r="M13" s="66">
        <f t="shared" ca="1" si="6"/>
        <v>2.7054621926271396E-3</v>
      </c>
      <c r="N13" s="52">
        <f t="shared" ca="1" si="11"/>
        <v>890.71762204286836</v>
      </c>
      <c r="O13" s="49">
        <f t="shared" ca="1" si="7"/>
        <v>0.34721901780176712</v>
      </c>
      <c r="P13" s="49">
        <f t="shared" ca="1" si="8"/>
        <v>890.37040302506659</v>
      </c>
      <c r="Q13" s="64">
        <v>878.84</v>
      </c>
      <c r="R13" s="49">
        <f t="shared" ca="1" si="9"/>
        <v>11.530403025066562</v>
      </c>
      <c r="S13" s="49">
        <f t="shared" si="10"/>
        <v>14.950000000000045</v>
      </c>
      <c r="T13" s="65" t="str">
        <f t="shared" si="1"/>
        <v/>
      </c>
      <c r="U13" s="4"/>
      <c r="V13" s="5"/>
      <c r="W13" s="5"/>
      <c r="X13" s="5"/>
      <c r="Y13" s="5"/>
    </row>
    <row r="14" spans="1:38" s="2" customFormat="1" ht="18" customHeight="1" x14ac:dyDescent="0.2">
      <c r="A14" s="83">
        <v>8</v>
      </c>
      <c r="B14" s="79">
        <v>73.66</v>
      </c>
      <c r="C14" s="63" t="s">
        <v>52</v>
      </c>
      <c r="D14" s="80" cm="1">
        <f t="array" ref="D14">_xlfn.IFS(C14=Auxiliar!$A$15,B14,C14=Auxiliar!$A$16,B14/2,Dimensionamento!C14=Auxiliar!$A$17,0)</f>
        <v>73.66</v>
      </c>
      <c r="E14" s="86">
        <v>53</v>
      </c>
      <c r="F14" s="63" t="s">
        <v>51</v>
      </c>
      <c r="G14" s="49">
        <f t="shared" si="2"/>
        <v>6.5195154870760836</v>
      </c>
      <c r="H14" s="49">
        <f t="shared" si="3"/>
        <v>0.26056773642062425</v>
      </c>
      <c r="I14" s="51">
        <f t="shared" si="4"/>
        <v>6.2589477506554596</v>
      </c>
      <c r="J14" s="49">
        <f t="shared" si="5"/>
        <v>6.3892316188657716</v>
      </c>
      <c r="K14" s="50">
        <f ca="1">IFERROR(IF(OFFSET(Auxiliar!$A$1,MATCH(J14,IF($L$2="F.F.",Auxiliar!$C$1:$C$12,Auxiliar!$B$1:$B$12),1),0)&gt;$H$3,OFFSET(Auxiliar!$A$1,MATCH(J14,IF($L$2="F.F.",Auxiliar!$C$1:$C$12,Auxiliar!$B$1:$B$12),1),0),$H$3),$H$3)</f>
        <v>100</v>
      </c>
      <c r="L14" s="48">
        <f t="shared" ca="1" si="0"/>
        <v>0.81350223576121616</v>
      </c>
      <c r="M14" s="66">
        <f ca="1">(10.641*((0.001*J14)^1.85))/(($L$3^1.85)*((0.001*K14)^4.87))</f>
        <v>7.3574199702268342E-3</v>
      </c>
      <c r="N14" s="52">
        <f t="shared" ca="1" si="11"/>
        <v>890.64808778251029</v>
      </c>
      <c r="O14" s="49">
        <f t="shared" ca="1" si="7"/>
        <v>0.54194755500690861</v>
      </c>
      <c r="P14" s="49">
        <f t="shared" ca="1" si="8"/>
        <v>890.10614022750337</v>
      </c>
      <c r="Q14" s="64">
        <v>876.99</v>
      </c>
      <c r="R14" s="49">
        <f t="shared" ca="1" si="9"/>
        <v>13.116140227503365</v>
      </c>
      <c r="S14" s="49">
        <f t="shared" si="10"/>
        <v>16.800000000000068</v>
      </c>
      <c r="T14" s="65" t="str">
        <f t="shared" si="1"/>
        <v/>
      </c>
      <c r="U14" s="4"/>
      <c r="V14" s="5"/>
      <c r="W14" s="5"/>
      <c r="X14" s="5"/>
      <c r="Y14" s="5"/>
    </row>
    <row r="15" spans="1:38" s="2" customFormat="1" ht="18" customHeight="1" x14ac:dyDescent="0.2">
      <c r="A15" s="81">
        <v>9</v>
      </c>
      <c r="B15" s="79">
        <v>54.17</v>
      </c>
      <c r="C15" s="63" t="s">
        <v>51</v>
      </c>
      <c r="D15" s="80" cm="1">
        <f t="array" ref="D15">_xlfn.IFS(C15=Auxiliar!$A$15,B15,C15=Auxiliar!$A$16,B15/2,Dimensionamento!C15=Auxiliar!$A$17,0)</f>
        <v>27.085000000000001</v>
      </c>
      <c r="E15" s="86">
        <v>8</v>
      </c>
      <c r="F15" s="74" t="s">
        <v>51</v>
      </c>
      <c r="G15" s="49">
        <f t="shared" si="2"/>
        <v>0.18601621530923876</v>
      </c>
      <c r="H15" s="49">
        <f t="shared" si="3"/>
        <v>9.5811527843505412E-2</v>
      </c>
      <c r="I15" s="51">
        <f t="shared" si="4"/>
        <v>9.0204687465733346E-2</v>
      </c>
      <c r="J15" s="49">
        <f t="shared" si="5"/>
        <v>0.6</v>
      </c>
      <c r="K15" s="50">
        <f ca="1">IFERROR(IF(OFFSET(Auxiliar!$A$1,MATCH(J15,IF($L$2="F.F.",Auxiliar!$C$1:$C$12,Auxiliar!$B$1:$B$12),1),0)&gt;$H$3,OFFSET(Auxiliar!$A$1,MATCH(J15,IF($L$2="F.F.",Auxiliar!$C$1:$C$12,Auxiliar!$B$1:$B$12),1),0),$H$3),$H$3)</f>
        <v>50</v>
      </c>
      <c r="L15" s="48">
        <f t="shared" ca="1" si="0"/>
        <v>0.30557749073643903</v>
      </c>
      <c r="M15" s="66">
        <f ca="1">(10.641*((0.001*J15)^1.85))/(($L$3^1.85)*((0.001*K15)^4.87))</f>
        <v>2.7054621926271396E-3</v>
      </c>
      <c r="N15" s="52">
        <f t="shared" ca="1" si="11"/>
        <v>890.10614022750337</v>
      </c>
      <c r="O15" s="49">
        <f t="shared" ca="1" si="7"/>
        <v>0.14655488697461216</v>
      </c>
      <c r="P15" s="49">
        <f t="shared" ca="1" si="8"/>
        <v>889.95958534052875</v>
      </c>
      <c r="Q15" s="64">
        <v>874.84</v>
      </c>
      <c r="R15" s="49">
        <f t="shared" ca="1" si="9"/>
        <v>15.119585340528715</v>
      </c>
      <c r="S15" s="49">
        <f t="shared" si="10"/>
        <v>18.950000000000045</v>
      </c>
      <c r="T15" s="65" t="str">
        <f t="shared" si="1"/>
        <v/>
      </c>
      <c r="U15" s="4"/>
      <c r="V15" s="62"/>
      <c r="W15" s="5"/>
      <c r="X15" s="5"/>
      <c r="Y15" s="5"/>
    </row>
    <row r="16" spans="1:38" s="2" customFormat="1" ht="18" customHeight="1" x14ac:dyDescent="0.2">
      <c r="A16" s="83">
        <v>10</v>
      </c>
      <c r="B16" s="85">
        <v>51</v>
      </c>
      <c r="C16" s="63" t="s">
        <v>51</v>
      </c>
      <c r="D16" s="80" cm="1">
        <f t="array" ref="D16">_xlfn.IFS(C16=Auxiliar!$A$15,B16,C16=Auxiliar!$A$16,B16/2,Dimensionamento!C16=Auxiliar!$A$17,0)</f>
        <v>25.5</v>
      </c>
      <c r="E16" s="86">
        <v>8</v>
      </c>
      <c r="F16" s="63" t="s">
        <v>51</v>
      </c>
      <c r="G16" s="49">
        <f t="shared" si="2"/>
        <v>6.0729315353462212</v>
      </c>
      <c r="H16" s="49">
        <f t="shared" si="3"/>
        <v>9.0204687465733346E-2</v>
      </c>
      <c r="I16" s="51">
        <f t="shared" si="4"/>
        <v>5.982726847880488</v>
      </c>
      <c r="J16" s="49">
        <f t="shared" si="5"/>
        <v>6.0278291916133551</v>
      </c>
      <c r="K16" s="50">
        <f ca="1">IFERROR(IF(OFFSET(Auxiliar!$A$1,MATCH(J16,IF($L$2="F.F.",Auxiliar!$C$1:$C$12,Auxiliar!$B$1:$B$12),1),0)&gt;$H$3,OFFSET(Auxiliar!$A$1,MATCH(J16,IF($L$2="F.F.",Auxiliar!$C$1:$C$12,Auxiliar!$B$1:$B$12),1),0),$H$3),$H$3)</f>
        <v>100</v>
      </c>
      <c r="L16" s="48">
        <f t="shared" ca="1" si="0"/>
        <v>0.76748704956711122</v>
      </c>
      <c r="M16" s="66">
        <f ca="1">(10.641*((0.001*J16)^1.85))/(($L$3^1.85)*((0.001*K16)^4.87))</f>
        <v>6.6060721299507179E-3</v>
      </c>
      <c r="N16" s="52">
        <f t="shared" ca="1" si="11"/>
        <v>890.10614022750337</v>
      </c>
      <c r="O16" s="49">
        <f t="shared" ca="1" si="7"/>
        <v>0.33690967862748661</v>
      </c>
      <c r="P16" s="49">
        <f t="shared" ca="1" si="8"/>
        <v>889.76923054887584</v>
      </c>
      <c r="Q16" s="64">
        <v>875.43</v>
      </c>
      <c r="R16" s="49">
        <f t="shared" ca="1" si="9"/>
        <v>14.339230548875889</v>
      </c>
      <c r="S16" s="49">
        <f t="shared" si="10"/>
        <v>18.360000000000127</v>
      </c>
      <c r="T16" s="65" t="str">
        <f t="shared" si="1"/>
        <v/>
      </c>
      <c r="U16" s="4"/>
      <c r="V16" s="5"/>
      <c r="W16" s="5"/>
      <c r="X16" s="5"/>
      <c r="Y16" s="5"/>
    </row>
    <row r="17" spans="1:42" s="2" customFormat="1" ht="18" customHeight="1" x14ac:dyDescent="0.2">
      <c r="A17" s="81">
        <v>11</v>
      </c>
      <c r="B17" s="85">
        <v>51</v>
      </c>
      <c r="C17" s="63" t="s">
        <v>51</v>
      </c>
      <c r="D17" s="80" cm="1">
        <f t="array" ref="D17">_xlfn.IFS(C17=Auxiliar!$A$15,B17,C17=Auxiliar!$A$16,B17/2,Dimensionamento!C17=Auxiliar!$A$17,0)</f>
        <v>25.5</v>
      </c>
      <c r="E17" s="87">
        <v>9</v>
      </c>
      <c r="F17" s="74" t="s">
        <v>52</v>
      </c>
      <c r="G17" s="49">
        <f t="shared" si="2"/>
        <v>9.0204687465733346E-2</v>
      </c>
      <c r="H17" s="49">
        <f t="shared" si="3"/>
        <v>9.0204687465733346E-2</v>
      </c>
      <c r="I17" s="51">
        <f t="shared" si="4"/>
        <v>0</v>
      </c>
      <c r="J17" s="49">
        <f t="shared" si="5"/>
        <v>0.6</v>
      </c>
      <c r="K17" s="50">
        <f ca="1">IFERROR(IF(OFFSET(Auxiliar!$A$1,MATCH(J17,IF($L$2="F.F.",Auxiliar!$C$1:$C$12,Auxiliar!$B$1:$B$12),1),0)&gt;$H$3,OFFSET(Auxiliar!$A$1,MATCH(J17,IF($L$2="F.F.",Auxiliar!$C$1:$C$12,Auxiliar!$B$1:$B$12),1),0),$H$3),$H$3)</f>
        <v>50</v>
      </c>
      <c r="L17" s="48">
        <f t="shared" ca="1" si="0"/>
        <v>0.30557749073643903</v>
      </c>
      <c r="M17" s="66">
        <f ca="1">(10.641*((0.001*J17)^1.85))/(($L$3^1.85)*((0.001*K17)^4.87))</f>
        <v>2.7054621926271396E-3</v>
      </c>
      <c r="N17" s="52">
        <f t="shared" ca="1" si="11"/>
        <v>889.95958534052875</v>
      </c>
      <c r="O17" s="49">
        <f t="shared" ca="1" si="7"/>
        <v>0.13797857182398413</v>
      </c>
      <c r="P17" s="49">
        <f t="shared" ca="1" si="8"/>
        <v>889.82160676870478</v>
      </c>
      <c r="Q17" s="64">
        <v>874.77</v>
      </c>
      <c r="R17" s="49">
        <f t="shared" ca="1" si="9"/>
        <v>15.051606768704801</v>
      </c>
      <c r="S17" s="49">
        <f t="shared" si="10"/>
        <v>19.020000000000095</v>
      </c>
      <c r="T17" s="65" t="str">
        <f t="shared" si="1"/>
        <v/>
      </c>
      <c r="U17" s="4"/>
      <c r="V17" s="5"/>
      <c r="W17" s="67" t="s">
        <v>54</v>
      </c>
      <c r="X17" s="5"/>
      <c r="Y17" s="5"/>
    </row>
    <row r="18" spans="1:42" s="2" customFormat="1" ht="18" customHeight="1" x14ac:dyDescent="0.2">
      <c r="A18" s="83">
        <v>12</v>
      </c>
      <c r="B18" s="85">
        <v>51</v>
      </c>
      <c r="C18" s="63" t="s">
        <v>49</v>
      </c>
      <c r="D18" s="80" cm="1">
        <f t="array" ref="D18">_xlfn.IFS(C18=Auxiliar!$A$15,B18,C18=Auxiliar!$A$16,B18/2,Dimensionamento!C18=Auxiliar!$A$17,0)</f>
        <v>0</v>
      </c>
      <c r="E18" s="86">
        <v>6</v>
      </c>
      <c r="F18" s="63" t="s">
        <v>51</v>
      </c>
      <c r="G18" s="49">
        <f t="shared" si="2"/>
        <v>8.1944453694238497</v>
      </c>
      <c r="H18" s="49">
        <f t="shared" si="3"/>
        <v>0</v>
      </c>
      <c r="I18" s="51">
        <f t="shared" si="4"/>
        <v>8.1944453694238497</v>
      </c>
      <c r="J18" s="49">
        <f t="shared" si="5"/>
        <v>8.1944453694238497</v>
      </c>
      <c r="K18" s="50">
        <f ca="1">IFERROR(IF(OFFSET(Auxiliar!$A$1,MATCH(J18,IF($L$2="F.F.",Auxiliar!$C$1:$C$12,Auxiliar!$B$1:$B$12),1),0)&gt;$H$3,OFFSET(Auxiliar!$A$1,MATCH(J18,IF($L$2="F.F.",Auxiliar!$C$1:$C$12,Auxiliar!$B$1:$B$12),1),0),$H$3),$H$3)</f>
        <v>125</v>
      </c>
      <c r="L18" s="48">
        <f t="shared" ca="1" si="0"/>
        <v>0.66774348105743264</v>
      </c>
      <c r="M18" s="66">
        <f t="shared" ref="M18:M22" ca="1" si="12">(10.641*((0.001*J18)^1.85))/(($L$3^1.85)*((0.001*K18)^4.87))</f>
        <v>3.9328284932372438E-3</v>
      </c>
      <c r="N18" s="52">
        <f t="shared" ca="1" si="11"/>
        <v>890.71762204286836</v>
      </c>
      <c r="O18" s="49">
        <f t="shared" ca="1" si="7"/>
        <v>0.20057425315509944</v>
      </c>
      <c r="P18" s="49">
        <f t="shared" ca="1" si="8"/>
        <v>890.51704778971327</v>
      </c>
      <c r="Q18" s="64">
        <v>873.77</v>
      </c>
      <c r="R18" s="49">
        <f t="shared" ca="1" si="9"/>
        <v>16.747047789713292</v>
      </c>
      <c r="S18" s="49">
        <f t="shared" si="10"/>
        <v>20.020000000000095</v>
      </c>
      <c r="T18" s="65" t="str">
        <f t="shared" si="1"/>
        <v/>
      </c>
      <c r="U18" s="4"/>
      <c r="V18" s="5"/>
      <c r="W18" s="5"/>
      <c r="X18" s="5"/>
      <c r="Y18" s="5"/>
    </row>
    <row r="19" spans="1:42" s="2" customFormat="1" ht="18" customHeight="1" x14ac:dyDescent="0.25">
      <c r="A19" s="83">
        <v>13</v>
      </c>
      <c r="B19" s="85">
        <v>71</v>
      </c>
      <c r="C19" s="63" t="s">
        <v>52</v>
      </c>
      <c r="D19" s="80" cm="1">
        <f t="array" ref="D19">_xlfn.IFS(C19=Auxiliar!$A$15,B19,C19=Auxiliar!$A$16,B19/2,Dimensionamento!C19=Auxiliar!$A$17,0)</f>
        <v>71</v>
      </c>
      <c r="E19" s="86">
        <v>12</v>
      </c>
      <c r="F19" s="63" t="s">
        <v>51</v>
      </c>
      <c r="G19" s="49">
        <f t="shared" si="2"/>
        <v>0.7823399482322192</v>
      </c>
      <c r="H19" s="49">
        <f t="shared" si="3"/>
        <v>0.25115814941439485</v>
      </c>
      <c r="I19" s="51">
        <f t="shared" si="4"/>
        <v>0.53118179881782435</v>
      </c>
      <c r="J19" s="49">
        <f t="shared" si="5"/>
        <v>0.65676087352502177</v>
      </c>
      <c r="K19" s="50">
        <f ca="1">IFERROR(IF(OFFSET(Auxiliar!$A$1,MATCH(J19,IF($L$2="F.F.",Auxiliar!$C$1:$C$12,Auxiliar!$B$1:$B$12),1),0)&gt;$H$3,OFFSET(Auxiliar!$A$1,MATCH(J19,IF($L$2="F.F.",Auxiliar!$C$1:$C$12,Auxiliar!$B$1:$B$12),1),0),$H$3),$H$3)</f>
        <v>50</v>
      </c>
      <c r="L19" s="48">
        <f t="shared" ca="1" si="0"/>
        <v>0.33448556624274661</v>
      </c>
      <c r="M19" s="66">
        <f t="shared" ca="1" si="12"/>
        <v>3.1979016931285831E-3</v>
      </c>
      <c r="N19" s="52">
        <f t="shared" ca="1" si="11"/>
        <v>890.51704778971327</v>
      </c>
      <c r="O19" s="49">
        <f t="shared" ca="1" si="7"/>
        <v>0.22705102021212939</v>
      </c>
      <c r="P19" s="49">
        <f t="shared" ca="1" si="8"/>
        <v>890.28999676950116</v>
      </c>
      <c r="Q19" s="64">
        <v>874.97</v>
      </c>
      <c r="R19" s="49">
        <f t="shared" ca="1" si="9"/>
        <v>15.319996769501131</v>
      </c>
      <c r="S19" s="49">
        <f t="shared" si="10"/>
        <v>18.82000000000005</v>
      </c>
      <c r="T19" s="65" t="str">
        <f t="shared" si="1"/>
        <v/>
      </c>
      <c r="U19" s="4"/>
      <c r="V19" s="5"/>
      <c r="W19" s="5"/>
      <c r="X19" s="5"/>
      <c r="Y19" s="5"/>
      <c r="AM19" s="16" t="s">
        <v>53</v>
      </c>
      <c r="AP19" s="16" t="s">
        <v>53</v>
      </c>
    </row>
    <row r="20" spans="1:42" s="2" customFormat="1" ht="18" customHeight="1" x14ac:dyDescent="0.2">
      <c r="A20" s="81">
        <v>14</v>
      </c>
      <c r="B20" s="79">
        <v>57.34</v>
      </c>
      <c r="C20" s="63" t="s">
        <v>51</v>
      </c>
      <c r="D20" s="80" cm="1">
        <f t="array" ref="D20">_xlfn.IFS(C20=Auxiliar!$A$15,B20,C20=Auxiliar!$A$16,B20/2,Dimensionamento!C20=Auxiliar!$A$17,0)</f>
        <v>28.67</v>
      </c>
      <c r="E20" s="86">
        <v>13</v>
      </c>
      <c r="F20" s="63" t="s">
        <v>51</v>
      </c>
      <c r="G20" s="49">
        <f t="shared" si="2"/>
        <v>0.44658395172986304</v>
      </c>
      <c r="H20" s="49">
        <f t="shared" si="3"/>
        <v>0.10141836822127746</v>
      </c>
      <c r="I20" s="51">
        <f t="shared" si="4"/>
        <v>0.34516558350858556</v>
      </c>
      <c r="J20" s="49">
        <f t="shared" si="5"/>
        <v>0.6</v>
      </c>
      <c r="K20" s="50">
        <f ca="1">IFERROR(IF(OFFSET(Auxiliar!$A$1,MATCH(J20,IF($L$2="F.F.",Auxiliar!$C$1:$C$12,Auxiliar!$B$1:$B$12),1),0)&gt;$H$3,OFFSET(Auxiliar!$A$1,MATCH(J20,IF($L$2="F.F.",Auxiliar!$C$1:$C$12,Auxiliar!$B$1:$B$12),1),0),$H$3),$H$3)</f>
        <v>50</v>
      </c>
      <c r="L20" s="48">
        <f ca="1">(4000*J20)/(PI()*(K20^2))</f>
        <v>0.30557749073643903</v>
      </c>
      <c r="M20" s="66">
        <f t="shared" ca="1" si="12"/>
        <v>2.7054621926271396E-3</v>
      </c>
      <c r="N20" s="52">
        <f t="shared" ca="1" si="11"/>
        <v>890.28999676950116</v>
      </c>
      <c r="O20" s="49">
        <f t="shared" ca="1" si="7"/>
        <v>0.1551312021252402</v>
      </c>
      <c r="P20" s="49">
        <f t="shared" ca="1" si="8"/>
        <v>890.13486556737587</v>
      </c>
      <c r="Q20" s="64">
        <v>875.33</v>
      </c>
      <c r="R20" s="49">
        <f t="shared" ca="1" si="9"/>
        <v>14.804865567375828</v>
      </c>
      <c r="S20" s="49">
        <f t="shared" si="10"/>
        <v>18.460000000000036</v>
      </c>
      <c r="T20" s="65" t="str">
        <f t="shared" si="1"/>
        <v/>
      </c>
      <c r="U20" s="4"/>
      <c r="V20" s="5"/>
      <c r="W20" s="5"/>
      <c r="X20" s="5"/>
      <c r="Y20" s="5"/>
    </row>
    <row r="21" spans="1:42" s="2" customFormat="1" ht="18" customHeight="1" x14ac:dyDescent="0.2">
      <c r="A21" s="83">
        <v>15</v>
      </c>
      <c r="B21" s="85">
        <v>47.83</v>
      </c>
      <c r="C21" s="63" t="s">
        <v>51</v>
      </c>
      <c r="D21" s="80" cm="1">
        <f t="array" ref="D21">_xlfn.IFS(C21=Auxiliar!$A$15,B21,C21=Auxiliar!$A$16,B21/2,Dimensionamento!C21=Auxiliar!$A$17,0)</f>
        <v>23.914999999999999</v>
      </c>
      <c r="E21" s="86">
        <v>13</v>
      </c>
      <c r="F21" s="63" t="s">
        <v>52</v>
      </c>
      <c r="G21" s="49">
        <f t="shared" si="2"/>
        <v>8.4597847087961295E-2</v>
      </c>
      <c r="H21" s="49">
        <f t="shared" si="3"/>
        <v>8.4597847087961295E-2</v>
      </c>
      <c r="I21" s="51">
        <f t="shared" si="4"/>
        <v>0</v>
      </c>
      <c r="J21" s="49">
        <f t="shared" si="5"/>
        <v>0.6</v>
      </c>
      <c r="K21" s="50">
        <f ca="1">IFERROR(IF(OFFSET(Auxiliar!$A$1,MATCH(J21,IF($L$2="F.F.",Auxiliar!$C$1:$C$12,Auxiliar!$B$1:$B$12),1),0)&gt;$H$3,OFFSET(Auxiliar!$A$1,MATCH(J21,IF($L$2="F.F.",Auxiliar!$C$1:$C$12,Auxiliar!$B$1:$B$12),1),0),$H$3),$H$3)</f>
        <v>50</v>
      </c>
      <c r="L21" s="48">
        <f t="shared" ca="1" si="0"/>
        <v>0.30557749073643903</v>
      </c>
      <c r="M21" s="66">
        <f t="shared" ca="1" si="12"/>
        <v>2.7054621926271396E-3</v>
      </c>
      <c r="N21" s="52">
        <f t="shared" ca="1" si="11"/>
        <v>890.28999676950116</v>
      </c>
      <c r="O21" s="49">
        <f t="shared" ca="1" si="7"/>
        <v>0.12940225667335609</v>
      </c>
      <c r="P21" s="49">
        <f t="shared" ca="1" si="8"/>
        <v>890.16059451282786</v>
      </c>
      <c r="Q21" s="64">
        <v>873.28</v>
      </c>
      <c r="R21" s="49">
        <f t="shared" ca="1" si="9"/>
        <v>16.880594512827884</v>
      </c>
      <c r="S21" s="49">
        <f t="shared" si="10"/>
        <v>20.510000000000105</v>
      </c>
      <c r="T21" s="65" t="str">
        <f t="shared" si="1"/>
        <v/>
      </c>
      <c r="U21" s="4"/>
      <c r="V21" s="5"/>
      <c r="W21" s="5"/>
      <c r="X21" s="5"/>
      <c r="Y21" s="5"/>
    </row>
    <row r="22" spans="1:42" s="2" customFormat="1" ht="18" customHeight="1" x14ac:dyDescent="0.25">
      <c r="A22" s="83">
        <v>16</v>
      </c>
      <c r="B22" s="85">
        <v>73.66</v>
      </c>
      <c r="C22" s="63" t="s">
        <v>52</v>
      </c>
      <c r="D22" s="80" cm="1">
        <f t="array" ref="D22">_xlfn.IFS(C22=Auxiliar!$A$15,B22,C22=Auxiliar!$A$16,B22/2,Dimensionamento!C22=Auxiliar!$A$17,0)</f>
        <v>73.66</v>
      </c>
      <c r="E22" s="86">
        <v>14</v>
      </c>
      <c r="F22" s="63" t="s">
        <v>52</v>
      </c>
      <c r="G22" s="49">
        <f t="shared" si="2"/>
        <v>0.26056773642062425</v>
      </c>
      <c r="H22" s="49">
        <f t="shared" si="3"/>
        <v>0.26056773642062425</v>
      </c>
      <c r="I22" s="51">
        <f t="shared" si="4"/>
        <v>0</v>
      </c>
      <c r="J22" s="49">
        <f t="shared" si="5"/>
        <v>0.6</v>
      </c>
      <c r="K22" s="50">
        <f ca="1">IFERROR(IF(OFFSET(Auxiliar!$A$1,MATCH(J22,IF($L$2="F.F.",Auxiliar!$C$1:$C$12,Auxiliar!$B$1:$B$12),1),0)&gt;$H$3,OFFSET(Auxiliar!$A$1,MATCH(J22,IF($L$2="F.F.",Auxiliar!$C$1:$C$12,Auxiliar!$B$1:$B$12),1),0),$H$3),$H$3)</f>
        <v>50</v>
      </c>
      <c r="L22" s="48">
        <f t="shared" ca="1" si="0"/>
        <v>0.30557749073643903</v>
      </c>
      <c r="M22" s="66">
        <f t="shared" ca="1" si="12"/>
        <v>2.7054621926271396E-3</v>
      </c>
      <c r="N22" s="52">
        <f t="shared" ca="1" si="11"/>
        <v>890.13486556737587</v>
      </c>
      <c r="O22" s="49">
        <f t="shared" ca="1" si="7"/>
        <v>0.1992843451089151</v>
      </c>
      <c r="P22" s="49">
        <f t="shared" ca="1" si="8"/>
        <v>889.93558122226693</v>
      </c>
      <c r="Q22" s="64">
        <v>875.43</v>
      </c>
      <c r="R22" s="49">
        <f t="shared" ca="1" si="9"/>
        <v>14.505581222266983</v>
      </c>
      <c r="S22" s="49">
        <f t="shared" si="10"/>
        <v>18.360000000000127</v>
      </c>
      <c r="T22" s="65" t="str">
        <f t="shared" si="1"/>
        <v/>
      </c>
      <c r="U22" s="4"/>
      <c r="V22" s="5"/>
      <c r="W22" s="5"/>
      <c r="X22" s="5"/>
      <c r="Y22" s="5"/>
      <c r="AK22" s="16" t="s">
        <v>53</v>
      </c>
      <c r="AM22" s="16" t="s">
        <v>53</v>
      </c>
    </row>
    <row r="23" spans="1:42" s="2" customFormat="1" ht="18" customHeight="1" x14ac:dyDescent="0.2">
      <c r="A23" s="83">
        <v>17</v>
      </c>
      <c r="B23" s="85">
        <v>47.83</v>
      </c>
      <c r="C23" s="63" t="s">
        <v>51</v>
      </c>
      <c r="D23" s="80" cm="1">
        <f t="array" ref="D23">_xlfn.IFS(C23=Auxiliar!$A$15,B23,C23=Auxiliar!$A$16,B23/2,Dimensionamento!C23=Auxiliar!$A$17,0)</f>
        <v>23.914999999999999</v>
      </c>
      <c r="E23" s="86">
        <v>14</v>
      </c>
      <c r="F23" s="63" t="s">
        <v>52</v>
      </c>
      <c r="G23" s="49">
        <f t="shared" si="2"/>
        <v>8.4597847087961295E-2</v>
      </c>
      <c r="H23" s="49">
        <f t="shared" si="3"/>
        <v>8.4597847087961295E-2</v>
      </c>
      <c r="I23" s="51">
        <f t="shared" si="4"/>
        <v>0</v>
      </c>
      <c r="J23" s="49">
        <f t="shared" si="5"/>
        <v>0.6</v>
      </c>
      <c r="K23" s="50">
        <f ca="1">IFERROR(IF(OFFSET(Auxiliar!$A$1,MATCH(J23,IF($L$2="F.F.",Auxiliar!$C$1:$C$12,Auxiliar!$B$1:$B$12),1),0)&gt;$H$3,OFFSET(Auxiliar!$A$1,MATCH(J23,IF($L$2="F.F.",Auxiliar!$C$1:$C$12,Auxiliar!$B$1:$B$12),1),0),$H$3),$H$3)</f>
        <v>50</v>
      </c>
      <c r="L23" s="48">
        <f t="shared" ca="1" si="0"/>
        <v>0.30557749073643903</v>
      </c>
      <c r="M23" s="66">
        <f t="shared" ref="M23:M86" ca="1" si="13">(10.641*((0.001*J23)^1.85))/(($L$3^1.85)*((0.001*K23)^4.87))</f>
        <v>2.7054621926271396E-3</v>
      </c>
      <c r="N23" s="52">
        <f t="shared" ca="1" si="11"/>
        <v>890.13486556737587</v>
      </c>
      <c r="O23" s="49">
        <f t="shared" ca="1" si="7"/>
        <v>0.12940225667335609</v>
      </c>
      <c r="P23" s="49">
        <f t="shared" ca="1" si="8"/>
        <v>890.00546331070257</v>
      </c>
      <c r="Q23" s="64">
        <v>873.58</v>
      </c>
      <c r="R23" s="49">
        <f t="shared" ca="1" si="9"/>
        <v>16.425463310702526</v>
      </c>
      <c r="S23" s="49">
        <f t="shared" si="10"/>
        <v>20.210000000000036</v>
      </c>
      <c r="T23" s="65" t="str">
        <f t="shared" si="1"/>
        <v/>
      </c>
    </row>
    <row r="24" spans="1:42" s="2" customFormat="1" ht="18" customHeight="1" x14ac:dyDescent="0.2">
      <c r="A24" s="81">
        <v>18</v>
      </c>
      <c r="B24" s="85">
        <v>54.17</v>
      </c>
      <c r="C24" s="63" t="s">
        <v>51</v>
      </c>
      <c r="D24" s="80" cm="1">
        <f t="array" ref="D24">_xlfn.IFS(C24=Auxiliar!$A$15,B24,C24=Auxiliar!$A$16,B24/2,Dimensionamento!C24=Auxiliar!$A$17,0)</f>
        <v>27.085000000000001</v>
      </c>
      <c r="E24" s="86">
        <v>10</v>
      </c>
      <c r="F24" s="74" t="s">
        <v>51</v>
      </c>
      <c r="G24" s="49">
        <f t="shared" si="2"/>
        <v>5.982726847880488</v>
      </c>
      <c r="H24" s="49">
        <f t="shared" si="3"/>
        <v>9.5811527843505412E-2</v>
      </c>
      <c r="I24" s="51">
        <f t="shared" si="4"/>
        <v>5.8869153200369828</v>
      </c>
      <c r="J24" s="49">
        <f t="shared" si="5"/>
        <v>5.9348210839587354</v>
      </c>
      <c r="K24" s="50">
        <f ca="1">IFERROR(IF(OFFSET(Auxiliar!$A$1,MATCH(J24,IF($L$2="F.F.",Auxiliar!$C$1:$C$12,Auxiliar!$B$1:$B$12),1),0)&gt;$H$3,OFFSET(Auxiliar!$A$1,MATCH(J24,IF($L$2="F.F.",Auxiliar!$C$1:$C$12,Auxiliar!$B$1:$B$12),1),0),$H$3),$H$3)</f>
        <v>100</v>
      </c>
      <c r="L24" s="48">
        <f t="shared" ca="1" si="0"/>
        <v>0.75564488950242648</v>
      </c>
      <c r="M24" s="66">
        <f t="shared" ca="1" si="13"/>
        <v>6.4187386696538656E-3</v>
      </c>
      <c r="N24" s="52">
        <f t="shared" ca="1" si="11"/>
        <v>889.76923054887584</v>
      </c>
      <c r="O24" s="49">
        <f t="shared" ca="1" si="7"/>
        <v>0.34770307373514991</v>
      </c>
      <c r="P24" s="49">
        <f t="shared" ca="1" si="8"/>
        <v>889.42152747514069</v>
      </c>
      <c r="Q24" s="64">
        <v>874.77</v>
      </c>
      <c r="R24" s="49">
        <f t="shared" ca="1" si="9"/>
        <v>14.651527475140711</v>
      </c>
      <c r="S24" s="49">
        <f t="shared" si="10"/>
        <v>19.020000000000095</v>
      </c>
      <c r="T24" s="65" t="str">
        <f t="shared" si="1"/>
        <v/>
      </c>
    </row>
    <row r="25" spans="1:42" s="2" customFormat="1" ht="18" customHeight="1" x14ac:dyDescent="0.2">
      <c r="A25" s="81">
        <v>19</v>
      </c>
      <c r="B25" s="85">
        <v>47.83</v>
      </c>
      <c r="C25" s="63" t="s">
        <v>51</v>
      </c>
      <c r="D25" s="80" cm="1">
        <f t="array" ref="D25">_xlfn.IFS(C25=Auxiliar!$A$15,B25,C25=Auxiliar!$A$16,B25/2,Dimensionamento!C25=Auxiliar!$A$17,0)</f>
        <v>23.914999999999999</v>
      </c>
      <c r="E25" s="87">
        <v>18</v>
      </c>
      <c r="F25" s="63" t="s">
        <v>52</v>
      </c>
      <c r="G25" s="49">
        <f t="shared" si="2"/>
        <v>8.4597847087961295E-2</v>
      </c>
      <c r="H25" s="49">
        <f t="shared" si="3"/>
        <v>8.4597847087961295E-2</v>
      </c>
      <c r="I25" s="51">
        <f t="shared" si="4"/>
        <v>0</v>
      </c>
      <c r="J25" s="49">
        <f t="shared" si="5"/>
        <v>0.6</v>
      </c>
      <c r="K25" s="50">
        <f ca="1">IFERROR(IF(OFFSET(Auxiliar!$A$1,MATCH(J25,IF($L$2="F.F.",Auxiliar!$C$1:$C$12,Auxiliar!$B$1:$B$12),1),0)&gt;$H$3,OFFSET(Auxiliar!$A$1,MATCH(J25,IF($L$2="F.F.",Auxiliar!$C$1:$C$12,Auxiliar!$B$1:$B$12),1),0),$H$3),$H$3)</f>
        <v>50</v>
      </c>
      <c r="L25" s="48">
        <f t="shared" ca="1" si="0"/>
        <v>0.30557749073643903</v>
      </c>
      <c r="M25" s="66">
        <f t="shared" ca="1" si="13"/>
        <v>2.7054621926271396E-3</v>
      </c>
      <c r="N25" s="52">
        <f t="shared" ca="1" si="11"/>
        <v>889.42152747514069</v>
      </c>
      <c r="O25" s="49">
        <f t="shared" ca="1" si="7"/>
        <v>0.12940225667335609</v>
      </c>
      <c r="P25" s="49">
        <f t="shared" ca="1" si="8"/>
        <v>889.29212521846739</v>
      </c>
      <c r="Q25" s="64">
        <v>873.68</v>
      </c>
      <c r="R25" s="49">
        <f t="shared" ca="1" si="9"/>
        <v>15.61212521846744</v>
      </c>
      <c r="S25" s="49">
        <f t="shared" si="10"/>
        <v>20.110000000000127</v>
      </c>
      <c r="T25" s="65" t="str">
        <f t="shared" si="1"/>
        <v/>
      </c>
    </row>
    <row r="26" spans="1:42" s="2" customFormat="1" ht="18" customHeight="1" x14ac:dyDescent="0.2">
      <c r="A26" s="83">
        <v>20</v>
      </c>
      <c r="B26" s="85">
        <v>47.83</v>
      </c>
      <c r="C26" s="63" t="s">
        <v>49</v>
      </c>
      <c r="D26" s="80" cm="1">
        <f t="array" ref="D26">_xlfn.IFS(C26=Auxiliar!$A$15,B26,C26=Auxiliar!$A$16,B26/2,Dimensionamento!C26=Auxiliar!$A$17,0)</f>
        <v>0</v>
      </c>
      <c r="E26" s="86">
        <v>12</v>
      </c>
      <c r="F26" s="63" t="s">
        <v>51</v>
      </c>
      <c r="G26" s="49">
        <f t="shared" si="2"/>
        <v>7.4121054211916304</v>
      </c>
      <c r="H26" s="49">
        <f t="shared" si="3"/>
        <v>0</v>
      </c>
      <c r="I26" s="51">
        <f t="shared" si="4"/>
        <v>7.4121054211916304</v>
      </c>
      <c r="J26" s="49">
        <f t="shared" si="5"/>
        <v>7.4121054211916304</v>
      </c>
      <c r="K26" s="50">
        <f ca="1">IFERROR(IF(OFFSET(Auxiliar!$A$1,MATCH(J26,IF($L$2="F.F.",Auxiliar!$C$1:$C$12,Auxiliar!$B$1:$B$12),1),0)&gt;$H$3,OFFSET(Auxiliar!$A$1,MATCH(J26,IF($L$2="F.F.",Auxiliar!$C$1:$C$12,Auxiliar!$B$1:$B$12),1),0),$H$3),$H$3)</f>
        <v>125</v>
      </c>
      <c r="L26" s="48">
        <f t="shared" ca="1" si="0"/>
        <v>0.60399268684845209</v>
      </c>
      <c r="M26" s="66">
        <f t="shared" ca="1" si="13"/>
        <v>3.2665232288308379E-3</v>
      </c>
      <c r="N26" s="52">
        <f t="shared" ca="1" si="11"/>
        <v>890.51704778971327</v>
      </c>
      <c r="O26" s="49">
        <f t="shared" ca="1" si="7"/>
        <v>0.15623780603497897</v>
      </c>
      <c r="P26" s="49">
        <f t="shared" ca="1" si="8"/>
        <v>890.36080998367834</v>
      </c>
      <c r="Q26" s="64">
        <v>872.54</v>
      </c>
      <c r="R26" s="49">
        <f t="shared" ca="1" si="9"/>
        <v>17.820809983678373</v>
      </c>
      <c r="S26" s="49">
        <f t="shared" si="10"/>
        <v>21.250000000000114</v>
      </c>
      <c r="T26" s="65" t="str">
        <f t="shared" si="1"/>
        <v/>
      </c>
    </row>
    <row r="27" spans="1:42" s="2" customFormat="1" ht="18" customHeight="1" x14ac:dyDescent="0.2">
      <c r="A27" s="83">
        <v>21</v>
      </c>
      <c r="B27" s="85">
        <v>71</v>
      </c>
      <c r="C27" s="63" t="s">
        <v>51</v>
      </c>
      <c r="D27" s="80" cm="1">
        <f t="array" ref="D27">_xlfn.IFS(C27=Auxiliar!$A$15,B27,C27=Auxiliar!$A$16,B27/2,Dimensionamento!C27=Auxiliar!$A$17,0)</f>
        <v>35.5</v>
      </c>
      <c r="E27" s="86">
        <v>20</v>
      </c>
      <c r="F27" s="63" t="s">
        <v>51</v>
      </c>
      <c r="G27" s="49">
        <f t="shared" si="2"/>
        <v>0.35167447076101499</v>
      </c>
      <c r="H27" s="49">
        <f t="shared" si="3"/>
        <v>0.12557907470719742</v>
      </c>
      <c r="I27" s="51">
        <f t="shared" si="4"/>
        <v>0.22609539605381754</v>
      </c>
      <c r="J27" s="49">
        <f t="shared" si="5"/>
        <v>0.6</v>
      </c>
      <c r="K27" s="50">
        <f ca="1">IFERROR(IF(OFFSET(Auxiliar!$A$1,MATCH(J27,IF($L$2="F.F.",Auxiliar!$C$1:$C$12,Auxiliar!$B$1:$B$12),1),0)&gt;$H$3,OFFSET(Auxiliar!$A$1,MATCH(J27,IF($L$2="F.F.",Auxiliar!$C$1:$C$12,Auxiliar!$B$1:$B$12),1),0),$H$3),$H$3)</f>
        <v>50</v>
      </c>
      <c r="L27" s="48">
        <f t="shared" ca="1" si="0"/>
        <v>0.30557749073643903</v>
      </c>
      <c r="M27" s="66">
        <f t="shared" ca="1" si="13"/>
        <v>2.7054621926271396E-3</v>
      </c>
      <c r="N27" s="52">
        <f t="shared" ca="1" si="11"/>
        <v>890.36080998367834</v>
      </c>
      <c r="O27" s="49">
        <f t="shared" ca="1" si="7"/>
        <v>0.19208781567652691</v>
      </c>
      <c r="P27" s="49">
        <f t="shared" ca="1" si="8"/>
        <v>890.16872216800186</v>
      </c>
      <c r="Q27" s="64">
        <v>873.28</v>
      </c>
      <c r="R27" s="49">
        <f t="shared" ca="1" si="9"/>
        <v>16.888722168001891</v>
      </c>
      <c r="S27" s="49">
        <f t="shared" si="10"/>
        <v>20.510000000000105</v>
      </c>
      <c r="T27" s="65" t="str">
        <f t="shared" si="1"/>
        <v/>
      </c>
    </row>
    <row r="28" spans="1:42" s="2" customFormat="1" ht="18" customHeight="1" x14ac:dyDescent="0.2">
      <c r="A28" s="83">
        <v>22</v>
      </c>
      <c r="B28" s="85">
        <v>57.34</v>
      </c>
      <c r="C28" s="63" t="s">
        <v>49</v>
      </c>
      <c r="D28" s="80" cm="1">
        <f t="array" ref="D28">_xlfn.IFS(C28=Auxiliar!$A$15,B28,C28=Auxiliar!$A$16,B28/2,Dimensionamento!C28=Auxiliar!$A$17,0)</f>
        <v>0</v>
      </c>
      <c r="E28" s="86">
        <v>21</v>
      </c>
      <c r="F28" s="63" t="s">
        <v>51</v>
      </c>
      <c r="G28" s="49">
        <f t="shared" si="2"/>
        <v>0.22609539605381754</v>
      </c>
      <c r="H28" s="49">
        <f t="shared" si="3"/>
        <v>0</v>
      </c>
      <c r="I28" s="51">
        <f t="shared" si="4"/>
        <v>0.22609539605381754</v>
      </c>
      <c r="J28" s="49">
        <f t="shared" si="5"/>
        <v>0.6</v>
      </c>
      <c r="K28" s="50">
        <f ca="1">IFERROR(IF(OFFSET(Auxiliar!$A$1,MATCH(J28,IF($L$2="F.F.",Auxiliar!$C$1:$C$12,Auxiliar!$B$1:$B$12),1),0)&gt;$H$3,OFFSET(Auxiliar!$A$1,MATCH(J28,IF($L$2="F.F.",Auxiliar!$C$1:$C$12,Auxiliar!$B$1:$B$12),1),0),$H$3),$H$3)</f>
        <v>50</v>
      </c>
      <c r="L28" s="48">
        <f t="shared" ca="1" si="0"/>
        <v>0.30557749073643903</v>
      </c>
      <c r="M28" s="66">
        <f t="shared" ca="1" si="13"/>
        <v>2.7054621926271396E-3</v>
      </c>
      <c r="N28" s="52">
        <f t="shared" ca="1" si="11"/>
        <v>890.16872216800186</v>
      </c>
      <c r="O28" s="49">
        <f t="shared" ca="1" si="7"/>
        <v>0.1551312021252402</v>
      </c>
      <c r="P28" s="49">
        <f t="shared" ca="1" si="8"/>
        <v>890.01359096587657</v>
      </c>
      <c r="Q28" s="64">
        <v>873.58</v>
      </c>
      <c r="R28" s="49">
        <f t="shared" ca="1" si="9"/>
        <v>16.433590965876533</v>
      </c>
      <c r="S28" s="49">
        <f t="shared" si="10"/>
        <v>20.210000000000036</v>
      </c>
      <c r="T28" s="65" t="str">
        <f t="shared" si="1"/>
        <v/>
      </c>
    </row>
    <row r="29" spans="1:42" s="2" customFormat="1" ht="18" customHeight="1" x14ac:dyDescent="0.2">
      <c r="A29" s="83">
        <v>23</v>
      </c>
      <c r="B29" s="85">
        <v>127.83</v>
      </c>
      <c r="C29" s="63" t="s">
        <v>51</v>
      </c>
      <c r="D29" s="80" cm="1">
        <f t="array" ref="D29">_xlfn.IFS(C29=Auxiliar!$A$15,B29,C29=Auxiliar!$A$16,B29/2,Dimensionamento!C29=Auxiliar!$A$17,0)</f>
        <v>63.914999999999999</v>
      </c>
      <c r="E29" s="86">
        <v>22</v>
      </c>
      <c r="F29" s="63" t="s">
        <v>52</v>
      </c>
      <c r="G29" s="49">
        <f t="shared" si="2"/>
        <v>0.22609539605381754</v>
      </c>
      <c r="H29" s="49">
        <f t="shared" si="3"/>
        <v>0.22609539605381754</v>
      </c>
      <c r="I29" s="51">
        <f t="shared" si="4"/>
        <v>0</v>
      </c>
      <c r="J29" s="49">
        <f t="shared" si="5"/>
        <v>0.6</v>
      </c>
      <c r="K29" s="50">
        <f ca="1">IFERROR(IF(OFFSET(Auxiliar!$A$1,MATCH(J29,IF($L$2="F.F.",Auxiliar!$C$1:$C$12,Auxiliar!$B$1:$B$12),1),0)&gt;$H$3,OFFSET(Auxiliar!$A$1,MATCH(J29,IF($L$2="F.F.",Auxiliar!$C$1:$C$12,Auxiliar!$B$1:$B$12),1),0),$H$3),$H$3)</f>
        <v>50</v>
      </c>
      <c r="L29" s="48">
        <f t="shared" ca="1" si="0"/>
        <v>0.30557749073643903</v>
      </c>
      <c r="M29" s="66">
        <f t="shared" ca="1" si="13"/>
        <v>2.7054621926271396E-3</v>
      </c>
      <c r="N29" s="52">
        <f t="shared" ca="1" si="11"/>
        <v>890.01359096587657</v>
      </c>
      <c r="O29" s="49">
        <f t="shared" ca="1" si="7"/>
        <v>0.34583923208352724</v>
      </c>
      <c r="P29" s="49">
        <f t="shared" ca="1" si="8"/>
        <v>889.66775173379301</v>
      </c>
      <c r="Q29" s="64">
        <v>873.68</v>
      </c>
      <c r="R29" s="49">
        <f t="shared" ca="1" si="9"/>
        <v>15.987751733793061</v>
      </c>
      <c r="S29" s="49">
        <f t="shared" si="10"/>
        <v>20.110000000000127</v>
      </c>
      <c r="T29" s="65" t="str">
        <f t="shared" si="1"/>
        <v/>
      </c>
    </row>
    <row r="30" spans="1:42" s="2" customFormat="1" ht="18" customHeight="1" x14ac:dyDescent="0.2">
      <c r="A30" s="83">
        <v>24</v>
      </c>
      <c r="B30" s="85">
        <v>25.914999999999999</v>
      </c>
      <c r="C30" s="63" t="s">
        <v>49</v>
      </c>
      <c r="D30" s="80" cm="1">
        <f t="array" ref="D30">_xlfn.IFS(C30=Auxiliar!$A$15,B30,C30=Auxiliar!$A$16,B30/2,Dimensionamento!C30=Auxiliar!$A$17,0)</f>
        <v>0</v>
      </c>
      <c r="E30" s="86">
        <v>20</v>
      </c>
      <c r="F30" s="63" t="s">
        <v>51</v>
      </c>
      <c r="G30" s="49">
        <f t="shared" si="2"/>
        <v>7.0604309504306153</v>
      </c>
      <c r="H30" s="49">
        <f t="shared" si="3"/>
        <v>0</v>
      </c>
      <c r="I30" s="51">
        <f t="shared" si="4"/>
        <v>7.0604309504306153</v>
      </c>
      <c r="J30" s="49">
        <f t="shared" si="5"/>
        <v>7.0604309504306153</v>
      </c>
      <c r="K30" s="50">
        <f ca="1">IFERROR(IF(OFFSET(Auxiliar!$A$1,MATCH(J30,IF($L$2="F.F.",Auxiliar!$C$1:$C$12,Auxiliar!$B$1:$B$12),1),0)&gt;$H$3,OFFSET(Auxiliar!$A$1,MATCH(J30,IF($L$2="F.F.",Auxiliar!$C$1:$C$12,Auxiliar!$B$1:$B$12),1),0),$H$3),$H$3)</f>
        <v>125</v>
      </c>
      <c r="L30" s="48">
        <f t="shared" ca="1" si="0"/>
        <v>0.5753356728934611</v>
      </c>
      <c r="M30" s="66">
        <f t="shared" ca="1" si="13"/>
        <v>2.9855995215573913E-3</v>
      </c>
      <c r="N30" s="52">
        <f t="shared" ca="1" si="11"/>
        <v>890.36080998367834</v>
      </c>
      <c r="O30" s="49">
        <f t="shared" ca="1" si="7"/>
        <v>7.7371811601159787E-2</v>
      </c>
      <c r="P30" s="49">
        <f t="shared" ca="1" si="8"/>
        <v>890.28343817207713</v>
      </c>
      <c r="Q30" s="64">
        <v>871.98</v>
      </c>
      <c r="R30" s="49">
        <f t="shared" ca="1" si="9"/>
        <v>18.303438172077108</v>
      </c>
      <c r="S30" s="49">
        <f t="shared" si="10"/>
        <v>21.810000000000059</v>
      </c>
      <c r="T30" s="65" t="str">
        <f t="shared" si="1"/>
        <v/>
      </c>
    </row>
    <row r="31" spans="1:42" s="2" customFormat="1" ht="18" customHeight="1" x14ac:dyDescent="0.2">
      <c r="A31" s="83">
        <v>25</v>
      </c>
      <c r="B31" s="85">
        <v>256.17</v>
      </c>
      <c r="C31" s="63" t="s">
        <v>51</v>
      </c>
      <c r="D31" s="80" cm="1">
        <f t="array" ref="D31">_xlfn.IFS(C31=Auxiliar!$A$15,B31,C31=Auxiliar!$A$16,B31/2,Dimensionamento!C31=Auxiliar!$A$17,0)</f>
        <v>128.08500000000001</v>
      </c>
      <c r="E31" s="86">
        <v>24</v>
      </c>
      <c r="F31" s="63" t="s">
        <v>51</v>
      </c>
      <c r="G31" s="49">
        <f t="shared" si="2"/>
        <v>0.45309283898229241</v>
      </c>
      <c r="H31" s="49">
        <f t="shared" si="3"/>
        <v>0.45309283898229241</v>
      </c>
      <c r="I31" s="51">
        <f t="shared" si="4"/>
        <v>0</v>
      </c>
      <c r="J31" s="49">
        <f t="shared" si="5"/>
        <v>0.6</v>
      </c>
      <c r="K31" s="50">
        <f ca="1">IFERROR(IF(OFFSET(Auxiliar!$A$1,MATCH(J31,IF($L$2="F.F.",Auxiliar!$C$1:$C$12,Auxiliar!$B$1:$B$12),1),0)&gt;$H$3,OFFSET(Auxiliar!$A$1,MATCH(J31,IF($L$2="F.F.",Auxiliar!$C$1:$C$12,Auxiliar!$B$1:$B$12),1),0),$H$3),$H$3)</f>
        <v>50</v>
      </c>
      <c r="L31" s="48">
        <f t="shared" ca="1" si="0"/>
        <v>0.30557749073643903</v>
      </c>
      <c r="M31" s="66">
        <f t="shared" ca="1" si="13"/>
        <v>2.7054621926271396E-3</v>
      </c>
      <c r="N31" s="52">
        <f t="shared" ca="1" si="11"/>
        <v>890.28343817207713</v>
      </c>
      <c r="O31" s="49">
        <f t="shared" ca="1" si="7"/>
        <v>0.69305824988529441</v>
      </c>
      <c r="P31" s="49">
        <f t="shared" ca="1" si="8"/>
        <v>889.5903799221918</v>
      </c>
      <c r="Q31" s="64">
        <v>872.98</v>
      </c>
      <c r="R31" s="49">
        <f t="shared" ca="1" si="9"/>
        <v>16.610379922191782</v>
      </c>
      <c r="S31" s="49">
        <f t="shared" si="10"/>
        <v>20.810000000000059</v>
      </c>
      <c r="T31" s="65" t="str">
        <f t="shared" si="1"/>
        <v/>
      </c>
    </row>
    <row r="32" spans="1:42" s="2" customFormat="1" ht="18" customHeight="1" x14ac:dyDescent="0.2">
      <c r="A32" s="83">
        <v>26</v>
      </c>
      <c r="B32" s="85">
        <v>45.255000000000003</v>
      </c>
      <c r="C32" s="63" t="s">
        <v>49</v>
      </c>
      <c r="D32" s="80" cm="1">
        <f t="array" ref="D32">_xlfn.IFS(C32=Auxiliar!$A$15,B32,C32=Auxiliar!$A$16,B32/2,Dimensionamento!C32=Auxiliar!$A$17,0)</f>
        <v>0</v>
      </c>
      <c r="E32" s="86">
        <v>24</v>
      </c>
      <c r="F32" s="63" t="s">
        <v>51</v>
      </c>
      <c r="G32" s="49">
        <f t="shared" si="2"/>
        <v>6.6073381114483229</v>
      </c>
      <c r="H32" s="49">
        <f t="shared" si="3"/>
        <v>0</v>
      </c>
      <c r="I32" s="51">
        <f t="shared" si="4"/>
        <v>6.6073381114483229</v>
      </c>
      <c r="J32" s="49">
        <f t="shared" si="5"/>
        <v>6.6073381114483229</v>
      </c>
      <c r="K32" s="82">
        <v>125</v>
      </c>
      <c r="L32" s="48">
        <f t="shared" si="0"/>
        <v>0.53841434681163214</v>
      </c>
      <c r="M32" s="66">
        <f t="shared" si="13"/>
        <v>2.6408449068953742E-3</v>
      </c>
      <c r="N32" s="52">
        <f t="shared" ca="1" si="11"/>
        <v>890.28343817207713</v>
      </c>
      <c r="O32" s="49">
        <f t="shared" si="7"/>
        <v>0.11951143626155017</v>
      </c>
      <c r="P32" s="49">
        <f t="shared" ca="1" si="8"/>
        <v>890.16392673581561</v>
      </c>
      <c r="Q32" s="64">
        <v>871.38</v>
      </c>
      <c r="R32" s="49">
        <f t="shared" ca="1" si="9"/>
        <v>18.783926735815612</v>
      </c>
      <c r="S32" s="49">
        <f t="shared" si="10"/>
        <v>22.410000000000082</v>
      </c>
      <c r="T32" s="65" t="str">
        <f t="shared" si="1"/>
        <v/>
      </c>
    </row>
    <row r="33" spans="1:20" ht="18" customHeight="1" x14ac:dyDescent="0.2">
      <c r="A33" s="83">
        <v>27</v>
      </c>
      <c r="B33" s="85">
        <v>201</v>
      </c>
      <c r="C33" s="63" t="s">
        <v>52</v>
      </c>
      <c r="D33" s="80" cm="1">
        <f t="array" ref="D33">_xlfn.IFS(C33=Auxiliar!$A$15,B33,C33=Auxiliar!$A$16,B33/2,Dimensionamento!C33=Auxiliar!$A$17,0)</f>
        <v>201</v>
      </c>
      <c r="E33" s="86">
        <v>26</v>
      </c>
      <c r="F33" s="63" t="s">
        <v>51</v>
      </c>
      <c r="G33" s="49">
        <f t="shared" si="2"/>
        <v>1.0865950528960515</v>
      </c>
      <c r="H33" s="49">
        <f t="shared" si="3"/>
        <v>0.71102518355342759</v>
      </c>
      <c r="I33" s="51">
        <f t="shared" si="4"/>
        <v>0.37556986934262393</v>
      </c>
      <c r="J33" s="49">
        <f t="shared" si="5"/>
        <v>0.73108246111933772</v>
      </c>
      <c r="K33" s="50">
        <f ca="1">IFERROR(IF(OFFSET(Auxiliar!$A$1,MATCH(J33,IF($L$2="F.F.",Auxiliar!$C$1:$C$12,Auxiliar!$B$1:$B$12),1),0)&gt;$H$3,OFFSET(Auxiliar!$A$1,MATCH(J33,IF($L$2="F.F.",Auxiliar!$C$1:$C$12,Auxiliar!$B$1:$B$12),1),0),$H$3),$H$3)</f>
        <v>50</v>
      </c>
      <c r="L33" s="48">
        <f t="shared" ca="1" si="0"/>
        <v>0.37233723998377916</v>
      </c>
      <c r="M33" s="66">
        <f t="shared" ca="1" si="13"/>
        <v>3.8994147637054196E-3</v>
      </c>
      <c r="N33" s="52">
        <f t="shared" ca="1" si="11"/>
        <v>890.16392673581561</v>
      </c>
      <c r="O33" s="49">
        <f t="shared" ca="1" si="7"/>
        <v>0.78378236750478936</v>
      </c>
      <c r="P33" s="49">
        <f t="shared" ca="1" si="8"/>
        <v>889.38014436831077</v>
      </c>
      <c r="Q33" s="64">
        <v>871.98</v>
      </c>
      <c r="R33" s="49">
        <f t="shared" ca="1" si="9"/>
        <v>17.400144368310748</v>
      </c>
      <c r="S33" s="49">
        <f t="shared" si="10"/>
        <v>21.810000000000059</v>
      </c>
      <c r="T33" s="65" t="str">
        <f t="shared" si="1"/>
        <v/>
      </c>
    </row>
    <row r="34" spans="1:20" ht="18" customHeight="1" x14ac:dyDescent="0.2">
      <c r="A34" s="83">
        <v>28</v>
      </c>
      <c r="B34" s="85">
        <v>55.17</v>
      </c>
      <c r="C34" s="63" t="s">
        <v>52</v>
      </c>
      <c r="D34" s="80" cm="1">
        <f t="array" ref="D34">_xlfn.IFS(C34=Auxiliar!$A$15,B34,C34=Auxiliar!$A$16,B34/2,Dimensionamento!C34=Auxiliar!$A$17,0)</f>
        <v>55.17</v>
      </c>
      <c r="E34" s="86">
        <v>27</v>
      </c>
      <c r="F34" s="63" t="s">
        <v>51</v>
      </c>
      <c r="G34" s="49">
        <f t="shared" si="2"/>
        <v>0.28536518187689058</v>
      </c>
      <c r="H34" s="49">
        <f t="shared" si="3"/>
        <v>0.19516049441115724</v>
      </c>
      <c r="I34" s="51">
        <f t="shared" si="4"/>
        <v>9.0204687465733346E-2</v>
      </c>
      <c r="J34" s="49">
        <f t="shared" si="5"/>
        <v>0.6</v>
      </c>
      <c r="K34" s="50">
        <f ca="1">IFERROR(IF(OFFSET(Auxiliar!$A$1,MATCH(J34,IF($L$2="F.F.",Auxiliar!$C$1:$C$12,Auxiliar!$B$1:$B$12),1),0)&gt;$H$3,OFFSET(Auxiliar!$A$1,MATCH(J34,IF($L$2="F.F.",Auxiliar!$C$1:$C$12,Auxiliar!$B$1:$B$12),1),0),$H$3),$H$3)</f>
        <v>50</v>
      </c>
      <c r="L34" s="48">
        <f t="shared" ca="1" si="0"/>
        <v>0.30557749073643903</v>
      </c>
      <c r="M34" s="66">
        <f t="shared" ca="1" si="13"/>
        <v>2.7054621926271396E-3</v>
      </c>
      <c r="N34" s="52">
        <f t="shared" ca="1" si="11"/>
        <v>889.38014436831077</v>
      </c>
      <c r="O34" s="49">
        <f t="shared" ca="1" si="7"/>
        <v>0.14926034916723929</v>
      </c>
      <c r="P34" s="49">
        <f t="shared" ca="1" si="8"/>
        <v>889.23088401914356</v>
      </c>
      <c r="Q34" s="64">
        <v>871.92</v>
      </c>
      <c r="R34" s="49">
        <f t="shared" ca="1" si="9"/>
        <v>17.3108840191436</v>
      </c>
      <c r="S34" s="49">
        <f t="shared" si="10"/>
        <v>21.870000000000118</v>
      </c>
      <c r="T34" s="65" t="str">
        <f t="shared" si="1"/>
        <v/>
      </c>
    </row>
    <row r="35" spans="1:20" ht="18" customHeight="1" x14ac:dyDescent="0.2">
      <c r="A35" s="83">
        <v>29</v>
      </c>
      <c r="B35" s="85">
        <v>51</v>
      </c>
      <c r="C35" s="63" t="s">
        <v>51</v>
      </c>
      <c r="D35" s="80" cm="1">
        <f t="array" ref="D35">_xlfn.IFS(C35=Auxiliar!$A$15,B35,C35=Auxiliar!$A$16,B35/2,Dimensionamento!C35=Auxiliar!$A$17,0)</f>
        <v>25.5</v>
      </c>
      <c r="E35" s="86">
        <v>27</v>
      </c>
      <c r="F35" s="63" t="s">
        <v>52</v>
      </c>
      <c r="G35" s="49">
        <f t="shared" si="2"/>
        <v>9.0204687465733346E-2</v>
      </c>
      <c r="H35" s="49">
        <f t="shared" si="3"/>
        <v>9.0204687465733346E-2</v>
      </c>
      <c r="I35" s="51">
        <f t="shared" si="4"/>
        <v>0</v>
      </c>
      <c r="J35" s="49">
        <f t="shared" si="5"/>
        <v>0.6</v>
      </c>
      <c r="K35" s="50">
        <f ca="1">IFERROR(IF(OFFSET(Auxiliar!$A$1,MATCH(J35,IF($L$2="F.F.",Auxiliar!$C$1:$C$12,Auxiliar!$B$1:$B$12),1),0)&gt;$H$3,OFFSET(Auxiliar!$A$1,MATCH(J35,IF($L$2="F.F.",Auxiliar!$C$1:$C$12,Auxiliar!$B$1:$B$12),1),0),$H$3),$H$3)</f>
        <v>50</v>
      </c>
      <c r="L35" s="48">
        <f t="shared" ca="1" si="0"/>
        <v>0.30557749073643903</v>
      </c>
      <c r="M35" s="66">
        <f t="shared" ca="1" si="13"/>
        <v>2.7054621926271396E-3</v>
      </c>
      <c r="N35" s="52">
        <f t="shared" ca="1" si="11"/>
        <v>889.38014436831077</v>
      </c>
      <c r="O35" s="49">
        <f t="shared" ca="1" si="7"/>
        <v>0.13797857182398413</v>
      </c>
      <c r="P35" s="49">
        <f t="shared" ca="1" si="8"/>
        <v>889.2421657964868</v>
      </c>
      <c r="Q35" s="64">
        <v>871.17</v>
      </c>
      <c r="R35" s="49">
        <f t="shared" ca="1" si="9"/>
        <v>18.072165796486843</v>
      </c>
      <c r="S35" s="49">
        <f t="shared" si="10"/>
        <v>22.620000000000118</v>
      </c>
      <c r="T35" s="65" t="str">
        <f t="shared" si="1"/>
        <v/>
      </c>
    </row>
    <row r="36" spans="1:20" ht="18" customHeight="1" x14ac:dyDescent="0.2">
      <c r="A36" s="83">
        <v>30</v>
      </c>
      <c r="B36" s="85">
        <v>51</v>
      </c>
      <c r="C36" s="63" t="s">
        <v>51</v>
      </c>
      <c r="D36" s="80" cm="1">
        <f t="array" ref="D36">_xlfn.IFS(C36=Auxiliar!$A$15,B36,C36=Auxiliar!$A$16,B36/2,Dimensionamento!C36=Auxiliar!$A$17,0)</f>
        <v>25.5</v>
      </c>
      <c r="E36" s="86">
        <v>28</v>
      </c>
      <c r="F36" s="63" t="s">
        <v>52</v>
      </c>
      <c r="G36" s="49">
        <f t="shared" si="2"/>
        <v>9.0204687465733346E-2</v>
      </c>
      <c r="H36" s="49">
        <f t="shared" si="3"/>
        <v>9.0204687465733346E-2</v>
      </c>
      <c r="I36" s="51">
        <f t="shared" si="4"/>
        <v>0</v>
      </c>
      <c r="J36" s="49">
        <f t="shared" si="5"/>
        <v>0.6</v>
      </c>
      <c r="K36" s="50">
        <f ca="1">IFERROR(IF(OFFSET(Auxiliar!$A$1,MATCH(J36,IF($L$2="F.F.",Auxiliar!$C$1:$C$12,Auxiliar!$B$1:$B$12),1),0)&gt;$H$3,OFFSET(Auxiliar!$A$1,MATCH(J36,IF($L$2="F.F.",Auxiliar!$C$1:$C$12,Auxiliar!$B$1:$B$12),1),0),$H$3),$H$3)</f>
        <v>50</v>
      </c>
      <c r="L36" s="48">
        <f t="shared" ca="1" si="0"/>
        <v>0.30557749073643903</v>
      </c>
      <c r="M36" s="66">
        <f t="shared" ca="1" si="13"/>
        <v>2.7054621926271396E-3</v>
      </c>
      <c r="N36" s="52">
        <f t="shared" ca="1" si="11"/>
        <v>889.23088401914356</v>
      </c>
      <c r="O36" s="49">
        <f t="shared" ca="1" si="7"/>
        <v>0.13797857182398413</v>
      </c>
      <c r="P36" s="49">
        <f t="shared" ca="1" si="8"/>
        <v>889.09290544731959</v>
      </c>
      <c r="Q36" s="64">
        <v>871.16</v>
      </c>
      <c r="R36" s="49">
        <f t="shared" ca="1" si="9"/>
        <v>17.932905447319627</v>
      </c>
      <c r="S36" s="49">
        <f t="shared" si="10"/>
        <v>22.630000000000109</v>
      </c>
      <c r="T36" s="65" t="str">
        <f t="shared" si="1"/>
        <v/>
      </c>
    </row>
    <row r="37" spans="1:20" ht="18" customHeight="1" x14ac:dyDescent="0.2">
      <c r="A37" s="83">
        <v>31</v>
      </c>
      <c r="B37" s="85">
        <v>51</v>
      </c>
      <c r="C37" s="63" t="s">
        <v>49</v>
      </c>
      <c r="D37" s="80" cm="1">
        <f t="array" ref="D37">_xlfn.IFS(C37=Auxiliar!$A$15,B37,C37=Auxiliar!$A$16,B37/2,Dimensionamento!C37=Auxiliar!$A$17,0)</f>
        <v>0</v>
      </c>
      <c r="E37" s="86">
        <v>26</v>
      </c>
      <c r="F37" s="63" t="s">
        <v>51</v>
      </c>
      <c r="G37" s="49">
        <f t="shared" si="2"/>
        <v>5.5207430585522719</v>
      </c>
      <c r="H37" s="49">
        <f t="shared" si="3"/>
        <v>0</v>
      </c>
      <c r="I37" s="51">
        <f t="shared" si="4"/>
        <v>5.5207430585522719</v>
      </c>
      <c r="J37" s="49">
        <f t="shared" si="5"/>
        <v>5.5207430585522719</v>
      </c>
      <c r="K37" s="50">
        <f ca="1">IFERROR(IF(OFFSET(Auxiliar!$A$1,MATCH(J37,IF($L$2="F.F.",Auxiliar!$C$1:$C$12,Auxiliar!$B$1:$B$12),1),0)&gt;$H$3,OFFSET(Auxiliar!$A$1,MATCH(J37,IF($L$2="F.F.",Auxiliar!$C$1:$C$12,Auxiliar!$B$1:$B$12),1),0),$H$3),$H$3)</f>
        <v>100</v>
      </c>
      <c r="L37" s="48">
        <f t="shared" ca="1" si="0"/>
        <v>0.70292283784709042</v>
      </c>
      <c r="M37" s="66">
        <f t="shared" ca="1" si="13"/>
        <v>5.6148869558455472E-3</v>
      </c>
      <c r="N37" s="52">
        <f t="shared" ca="1" si="11"/>
        <v>890.16392673581561</v>
      </c>
      <c r="O37" s="49">
        <f t="shared" ca="1" si="7"/>
        <v>0.28635923474812292</v>
      </c>
      <c r="P37" s="49">
        <f t="shared" ca="1" si="8"/>
        <v>889.87756750106746</v>
      </c>
      <c r="Q37" s="64">
        <v>870.67</v>
      </c>
      <c r="R37" s="49">
        <f t="shared" ca="1" si="9"/>
        <v>19.207567501067501</v>
      </c>
      <c r="S37" s="49">
        <f t="shared" si="10"/>
        <v>23.120000000000118</v>
      </c>
      <c r="T37" s="65" t="str">
        <f t="shared" si="1"/>
        <v/>
      </c>
    </row>
    <row r="38" spans="1:20" ht="18" customHeight="1" x14ac:dyDescent="0.2">
      <c r="A38" s="83">
        <v>32</v>
      </c>
      <c r="B38" s="85">
        <v>71</v>
      </c>
      <c r="C38" s="63" t="s">
        <v>52</v>
      </c>
      <c r="D38" s="80" cm="1">
        <f t="array" ref="D38">_xlfn.IFS(C38=Auxiliar!$A$15,B38,C38=Auxiliar!$A$16,B38/2,Dimensionamento!C38=Auxiliar!$A$17,0)</f>
        <v>71</v>
      </c>
      <c r="E38" s="86">
        <v>31</v>
      </c>
      <c r="F38" s="63" t="s">
        <v>51</v>
      </c>
      <c r="G38" s="49">
        <f t="shared" si="2"/>
        <v>1.0865950528960515</v>
      </c>
      <c r="H38" s="49">
        <f t="shared" si="3"/>
        <v>0.25115814941439485</v>
      </c>
      <c r="I38" s="51">
        <f t="shared" si="4"/>
        <v>0.83543690348165667</v>
      </c>
      <c r="J38" s="49">
        <f t="shared" si="5"/>
        <v>0.96101597818885409</v>
      </c>
      <c r="K38" s="50">
        <f ca="1">IFERROR(IF(OFFSET(Auxiliar!$A$1,MATCH(J38,IF($L$2="F.F.",Auxiliar!$C$1:$C$12,Auxiliar!$B$1:$B$12),1),0)&gt;$H$3,OFFSET(Auxiliar!$A$1,MATCH(J38,IF($L$2="F.F.",Auxiliar!$C$1:$C$12,Auxiliar!$B$1:$B$12),1),0),$H$3),$H$3)</f>
        <v>50</v>
      </c>
      <c r="L38" s="48">
        <f t="shared" ca="1" si="0"/>
        <v>0.48944141862095747</v>
      </c>
      <c r="M38" s="66">
        <f t="shared" ca="1" si="13"/>
        <v>6.4671551757415806E-3</v>
      </c>
      <c r="N38" s="52">
        <f t="shared" ca="1" si="11"/>
        <v>889.87756750106746</v>
      </c>
      <c r="O38" s="49">
        <f t="shared" ca="1" si="7"/>
        <v>0.45916801747765223</v>
      </c>
      <c r="P38" s="49">
        <f t="shared" ca="1" si="8"/>
        <v>889.41839948358984</v>
      </c>
      <c r="Q38" s="64">
        <v>870.92</v>
      </c>
      <c r="R38" s="49">
        <f t="shared" ca="1" si="9"/>
        <v>18.498399483589878</v>
      </c>
      <c r="S38" s="49">
        <f t="shared" si="10"/>
        <v>22.870000000000118</v>
      </c>
      <c r="T38" s="65" t="str">
        <f t="shared" si="1"/>
        <v/>
      </c>
    </row>
    <row r="39" spans="1:20" ht="18" customHeight="1" x14ac:dyDescent="0.2">
      <c r="A39" s="83">
        <v>33</v>
      </c>
      <c r="B39" s="85">
        <v>57.34</v>
      </c>
      <c r="C39" s="63" t="s">
        <v>52</v>
      </c>
      <c r="D39" s="80" cm="1">
        <f t="array" ref="D39">_xlfn.IFS(C39=Auxiliar!$A$15,B39,C39=Auxiliar!$A$16,B39/2,Dimensionamento!C39=Auxiliar!$A$17,0)</f>
        <v>57.34</v>
      </c>
      <c r="E39" s="86">
        <v>32</v>
      </c>
      <c r="F39" s="63" t="s">
        <v>51</v>
      </c>
      <c r="G39" s="49">
        <f t="shared" ref="G39:G70" si="14">H39+I39</f>
        <v>0.74523221601592338</v>
      </c>
      <c r="H39" s="49">
        <f t="shared" si="3"/>
        <v>0.20283673644255493</v>
      </c>
      <c r="I39" s="51">
        <f t="shared" si="4"/>
        <v>0.54239547957336842</v>
      </c>
      <c r="J39" s="49">
        <f t="shared" si="5"/>
        <v>0.6438138477946459</v>
      </c>
      <c r="K39" s="50">
        <f ca="1">IFERROR(IF(OFFSET(Auxiliar!$A$1,MATCH(J39,IF($L$2="F.F.",Auxiliar!$C$1:$C$12,Auxiliar!$B$1:$B$12),1),0)&gt;$H$3,OFFSET(Auxiliar!$A$1,MATCH(J39,IF($L$2="F.F.",Auxiliar!$C$1:$C$12,Auxiliar!$B$1:$B$12),1),0),$H$3),$H$3)</f>
        <v>50</v>
      </c>
      <c r="L39" s="48">
        <f t="shared" ca="1" si="0"/>
        <v>0.3278917001840993</v>
      </c>
      <c r="M39" s="66">
        <f t="shared" ca="1" si="13"/>
        <v>3.0822526624706796E-3</v>
      </c>
      <c r="N39" s="52">
        <f t="shared" ca="1" si="11"/>
        <v>889.41839948358984</v>
      </c>
      <c r="O39" s="49">
        <f t="shared" ca="1" si="7"/>
        <v>0.17673636766606879</v>
      </c>
      <c r="P39" s="49">
        <f t="shared" ca="1" si="8"/>
        <v>889.24166311592376</v>
      </c>
      <c r="Q39" s="64">
        <v>871.11</v>
      </c>
      <c r="R39" s="49">
        <f t="shared" ca="1" si="9"/>
        <v>18.131663115923743</v>
      </c>
      <c r="S39" s="49">
        <f t="shared" si="10"/>
        <v>22.680000000000064</v>
      </c>
      <c r="T39" s="65" t="str">
        <f t="shared" ref="T39:T70" si="15">IF(S39=LARGE($S$7:$S$126,1),"Pressão Máx.",IF(S39=SMALL($S$7:$S$126,1),"Pressão Mín",""))</f>
        <v/>
      </c>
    </row>
    <row r="40" spans="1:20" ht="18" customHeight="1" x14ac:dyDescent="0.2">
      <c r="A40" s="83">
        <v>34</v>
      </c>
      <c r="B40" s="85">
        <v>51</v>
      </c>
      <c r="C40" s="63" t="s">
        <v>51</v>
      </c>
      <c r="D40" s="80" cm="1">
        <f t="array" ref="D40">_xlfn.IFS(C40=Auxiliar!$A$15,B40,C40=Auxiliar!$A$16,B40/2,Dimensionamento!C40=Auxiliar!$A$17,0)</f>
        <v>25.5</v>
      </c>
      <c r="E40" s="86">
        <v>32</v>
      </c>
      <c r="F40" s="63" t="s">
        <v>52</v>
      </c>
      <c r="G40" s="49">
        <f t="shared" si="14"/>
        <v>9.0204687465733346E-2</v>
      </c>
      <c r="H40" s="49">
        <f t="shared" si="3"/>
        <v>9.0204687465733346E-2</v>
      </c>
      <c r="I40" s="51">
        <f t="shared" si="4"/>
        <v>0</v>
      </c>
      <c r="J40" s="49">
        <f t="shared" si="5"/>
        <v>0.6</v>
      </c>
      <c r="K40" s="50">
        <f ca="1">IFERROR(IF(OFFSET(Auxiliar!$A$1,MATCH(J40,IF($L$2="F.F.",Auxiliar!$C$1:$C$12,Auxiliar!$B$1:$B$12),1),0)&gt;$H$3,OFFSET(Auxiliar!$A$1,MATCH(J40,IF($L$2="F.F.",Auxiliar!$C$1:$C$12,Auxiliar!$B$1:$B$12),1),0),$H$3),$H$3)</f>
        <v>50</v>
      </c>
      <c r="L40" s="48">
        <f t="shared" ca="1" si="0"/>
        <v>0.30557749073643903</v>
      </c>
      <c r="M40" s="66">
        <f t="shared" ca="1" si="13"/>
        <v>2.7054621926271396E-3</v>
      </c>
      <c r="N40" s="52">
        <f t="shared" ca="1" si="11"/>
        <v>889.41839948358984</v>
      </c>
      <c r="O40" s="49">
        <f t="shared" ca="1" si="7"/>
        <v>0.13797857182398413</v>
      </c>
      <c r="P40" s="49">
        <f t="shared" ca="1" si="8"/>
        <v>889.28042091176587</v>
      </c>
      <c r="Q40" s="64">
        <v>869.88</v>
      </c>
      <c r="R40" s="49">
        <f t="shared" ca="1" si="9"/>
        <v>19.400420911765877</v>
      </c>
      <c r="S40" s="49">
        <f t="shared" si="10"/>
        <v>23.910000000000082</v>
      </c>
      <c r="T40" s="65" t="str">
        <f t="shared" si="15"/>
        <v/>
      </c>
    </row>
    <row r="41" spans="1:20" ht="18" customHeight="1" x14ac:dyDescent="0.2">
      <c r="A41" s="83">
        <v>35</v>
      </c>
      <c r="B41" s="85">
        <v>72.66</v>
      </c>
      <c r="C41" s="63" t="s">
        <v>52</v>
      </c>
      <c r="D41" s="80" cm="1">
        <f t="array" ref="D41">_xlfn.IFS(C41=Auxiliar!$A$15,B41,C41=Auxiliar!$A$16,B41/2,Dimensionamento!C41=Auxiliar!$A$17,0)</f>
        <v>72.66</v>
      </c>
      <c r="E41" s="86">
        <v>33</v>
      </c>
      <c r="F41" s="63" t="s">
        <v>51</v>
      </c>
      <c r="G41" s="49">
        <f t="shared" si="14"/>
        <v>0.45219079210763508</v>
      </c>
      <c r="H41" s="49">
        <f t="shared" si="3"/>
        <v>0.25703029769647784</v>
      </c>
      <c r="I41" s="51">
        <f t="shared" si="4"/>
        <v>0.19516049441115724</v>
      </c>
      <c r="J41" s="49">
        <f t="shared" si="5"/>
        <v>0.6</v>
      </c>
      <c r="K41" s="50">
        <f ca="1">IFERROR(IF(OFFSET(Auxiliar!$A$1,MATCH(J41,IF($L$2="F.F.",Auxiliar!$C$1:$C$12,Auxiliar!$B$1:$B$12),1),0)&gt;$H$3,OFFSET(Auxiliar!$A$1,MATCH(J41,IF($L$2="F.F.",Auxiliar!$C$1:$C$12,Auxiliar!$B$1:$B$12),1),0),$H$3),$H$3)</f>
        <v>50</v>
      </c>
      <c r="L41" s="48">
        <f t="shared" ca="1" si="0"/>
        <v>0.30557749073643903</v>
      </c>
      <c r="M41" s="66">
        <f t="shared" ca="1" si="13"/>
        <v>2.7054621926271396E-3</v>
      </c>
      <c r="N41" s="52">
        <f t="shared" ca="1" si="11"/>
        <v>889.24166311592376</v>
      </c>
      <c r="O41" s="49">
        <f t="shared" ca="1" si="7"/>
        <v>0.19657888291628794</v>
      </c>
      <c r="P41" s="49">
        <f t="shared" ca="1" si="8"/>
        <v>889.04508423300751</v>
      </c>
      <c r="Q41" s="64">
        <v>871.17</v>
      </c>
      <c r="R41" s="49">
        <f t="shared" ca="1" si="9"/>
        <v>17.875084233007556</v>
      </c>
      <c r="S41" s="49">
        <f t="shared" si="10"/>
        <v>22.620000000000118</v>
      </c>
      <c r="T41" s="65" t="str">
        <f t="shared" si="15"/>
        <v/>
      </c>
    </row>
    <row r="42" spans="1:20" ht="18" customHeight="1" x14ac:dyDescent="0.2">
      <c r="A42" s="83">
        <v>36</v>
      </c>
      <c r="B42" s="85">
        <v>51</v>
      </c>
      <c r="C42" s="63" t="s">
        <v>51</v>
      </c>
      <c r="D42" s="80" cm="1">
        <f t="array" ref="D42">_xlfn.IFS(C42=Auxiliar!$A$15,B42,C42=Auxiliar!$A$16,B42/2,Dimensionamento!C42=Auxiliar!$A$17,0)</f>
        <v>25.5</v>
      </c>
      <c r="E42" s="86">
        <v>33</v>
      </c>
      <c r="F42" s="63" t="s">
        <v>52</v>
      </c>
      <c r="G42" s="49">
        <f t="shared" si="14"/>
        <v>9.0204687465733346E-2</v>
      </c>
      <c r="H42" s="49">
        <f t="shared" si="3"/>
        <v>9.0204687465733346E-2</v>
      </c>
      <c r="I42" s="51">
        <f t="shared" si="4"/>
        <v>0</v>
      </c>
      <c r="J42" s="49">
        <f t="shared" si="5"/>
        <v>0.6</v>
      </c>
      <c r="K42" s="50">
        <f ca="1">IFERROR(IF(OFFSET(Auxiliar!$A$1,MATCH(J42,IF($L$2="F.F.",Auxiliar!$C$1:$C$12,Auxiliar!$B$1:$B$12),1),0)&gt;$H$3,OFFSET(Auxiliar!$A$1,MATCH(J42,IF($L$2="F.F.",Auxiliar!$C$1:$C$12,Auxiliar!$B$1:$B$12),1),0),$H$3),$H$3)</f>
        <v>50</v>
      </c>
      <c r="L42" s="48">
        <f t="shared" ca="1" si="0"/>
        <v>0.30557749073643903</v>
      </c>
      <c r="M42" s="66">
        <f t="shared" ca="1" si="13"/>
        <v>2.7054621926271396E-3</v>
      </c>
      <c r="N42" s="52">
        <f t="shared" ca="1" si="11"/>
        <v>889.24166311592376</v>
      </c>
      <c r="O42" s="49">
        <f t="shared" ca="1" si="7"/>
        <v>0.13797857182398413</v>
      </c>
      <c r="P42" s="49">
        <f t="shared" ca="1" si="8"/>
        <v>889.10368454409979</v>
      </c>
      <c r="Q42" s="64">
        <v>869.95</v>
      </c>
      <c r="R42" s="49">
        <f t="shared" ca="1" si="9"/>
        <v>19.153684544099747</v>
      </c>
      <c r="S42" s="49">
        <f t="shared" si="10"/>
        <v>23.840000000000032</v>
      </c>
      <c r="T42" s="65" t="str">
        <f t="shared" si="15"/>
        <v/>
      </c>
    </row>
    <row r="43" spans="1:20" ht="18" customHeight="1" x14ac:dyDescent="0.2">
      <c r="A43" s="83">
        <v>37</v>
      </c>
      <c r="B43" s="85">
        <v>55.17</v>
      </c>
      <c r="C43" s="63" t="s">
        <v>52</v>
      </c>
      <c r="D43" s="80" cm="1">
        <f t="array" ref="D43">_xlfn.IFS(C43=Auxiliar!$A$15,B43,C43=Auxiliar!$A$16,B43/2,Dimensionamento!C43=Auxiliar!$A$17,0)</f>
        <v>55.17</v>
      </c>
      <c r="E43" s="86">
        <v>35</v>
      </c>
      <c r="F43" s="63" t="s">
        <v>51</v>
      </c>
      <c r="G43" s="49">
        <f t="shared" si="14"/>
        <v>0.19516049441115724</v>
      </c>
      <c r="H43" s="49">
        <f t="shared" si="3"/>
        <v>0.19516049441115724</v>
      </c>
      <c r="I43" s="51">
        <f t="shared" si="4"/>
        <v>0</v>
      </c>
      <c r="J43" s="49">
        <f t="shared" si="5"/>
        <v>0.6</v>
      </c>
      <c r="K43" s="50">
        <f ca="1">IFERROR(IF(OFFSET(Auxiliar!$A$1,MATCH(J43,IF($L$2="F.F.",Auxiliar!$C$1:$C$12,Auxiliar!$B$1:$B$12),1),0)&gt;$H$3,OFFSET(Auxiliar!$A$1,MATCH(J43,IF($L$2="F.F.",Auxiliar!$C$1:$C$12,Auxiliar!$B$1:$B$12),1),0),$H$3),$H$3)</f>
        <v>50</v>
      </c>
      <c r="L43" s="48">
        <f t="shared" ca="1" si="0"/>
        <v>0.30557749073643903</v>
      </c>
      <c r="M43" s="66">
        <f t="shared" ca="1" si="13"/>
        <v>2.7054621926271396E-3</v>
      </c>
      <c r="N43" s="52">
        <f t="shared" ca="1" si="11"/>
        <v>889.04508423300751</v>
      </c>
      <c r="O43" s="49">
        <f t="shared" ca="1" si="7"/>
        <v>0.14926034916723929</v>
      </c>
      <c r="P43" s="49">
        <f t="shared" ca="1" si="8"/>
        <v>888.89582388384031</v>
      </c>
      <c r="Q43" s="64">
        <v>871.16</v>
      </c>
      <c r="R43" s="49">
        <f t="shared" ca="1" si="9"/>
        <v>17.735823883840339</v>
      </c>
      <c r="S43" s="49">
        <f t="shared" si="10"/>
        <v>22.630000000000109</v>
      </c>
      <c r="T43" s="65" t="str">
        <f t="shared" si="15"/>
        <v/>
      </c>
    </row>
    <row r="44" spans="1:20" ht="18" customHeight="1" x14ac:dyDescent="0.2">
      <c r="A44" s="83">
        <v>38</v>
      </c>
      <c r="B44" s="85">
        <v>51</v>
      </c>
      <c r="C44" s="63" t="s">
        <v>49</v>
      </c>
      <c r="D44" s="80" cm="1">
        <f t="array" ref="D44">_xlfn.IFS(C44=Auxiliar!$A$15,B44,C44=Auxiliar!$A$16,B44/2,Dimensionamento!C44=Auxiliar!$A$17,0)</f>
        <v>0</v>
      </c>
      <c r="E44" s="86">
        <v>37</v>
      </c>
      <c r="F44" s="63" t="s">
        <v>52</v>
      </c>
      <c r="G44" s="49">
        <f t="shared" si="14"/>
        <v>0</v>
      </c>
      <c r="H44" s="49">
        <f t="shared" si="3"/>
        <v>0</v>
      </c>
      <c r="I44" s="51">
        <f t="shared" si="4"/>
        <v>0</v>
      </c>
      <c r="J44" s="49">
        <f t="shared" si="5"/>
        <v>0.6</v>
      </c>
      <c r="K44" s="50">
        <f ca="1">IFERROR(IF(OFFSET(Auxiliar!$A$1,MATCH(J44,IF($L$2="F.F.",Auxiliar!$C$1:$C$12,Auxiliar!$B$1:$B$12),1),0)&gt;$H$3,OFFSET(Auxiliar!$A$1,MATCH(J44,IF($L$2="F.F.",Auxiliar!$C$1:$C$12,Auxiliar!$B$1:$B$12),1),0),$H$3),$H$3)</f>
        <v>50</v>
      </c>
      <c r="L44" s="48">
        <f t="shared" ca="1" si="0"/>
        <v>0.30557749073643903</v>
      </c>
      <c r="M44" s="66">
        <f t="shared" ca="1" si="13"/>
        <v>2.7054621926271396E-3</v>
      </c>
      <c r="N44" s="52">
        <f t="shared" ca="1" si="11"/>
        <v>888.89582388384031</v>
      </c>
      <c r="O44" s="49">
        <f t="shared" ca="1" si="7"/>
        <v>0.13797857182398413</v>
      </c>
      <c r="P44" s="49">
        <f t="shared" ca="1" si="8"/>
        <v>888.75784531201634</v>
      </c>
      <c r="Q44" s="64">
        <v>869.88</v>
      </c>
      <c r="R44" s="49">
        <f t="shared" ca="1" si="9"/>
        <v>18.877845312016348</v>
      </c>
      <c r="S44" s="49">
        <f t="shared" si="10"/>
        <v>23.910000000000082</v>
      </c>
      <c r="T44" s="65" t="str">
        <f t="shared" si="15"/>
        <v/>
      </c>
    </row>
    <row r="45" spans="1:20" ht="18" customHeight="1" x14ac:dyDescent="0.2">
      <c r="A45" s="83">
        <v>39</v>
      </c>
      <c r="B45" s="85">
        <v>51</v>
      </c>
      <c r="C45" s="63" t="s">
        <v>49</v>
      </c>
      <c r="D45" s="80" cm="1">
        <f t="array" ref="D45">_xlfn.IFS(C45=Auxiliar!$A$15,B45,C45=Auxiliar!$A$16,B45/2,Dimensionamento!C45=Auxiliar!$A$17,0)</f>
        <v>0</v>
      </c>
      <c r="E45" s="86">
        <v>31</v>
      </c>
      <c r="F45" s="63" t="s">
        <v>51</v>
      </c>
      <c r="G45" s="49">
        <f t="shared" si="14"/>
        <v>4.4341480056562199</v>
      </c>
      <c r="H45" s="49">
        <f t="shared" si="3"/>
        <v>0</v>
      </c>
      <c r="I45" s="51">
        <f t="shared" si="4"/>
        <v>4.4341480056562199</v>
      </c>
      <c r="J45" s="49">
        <f t="shared" si="5"/>
        <v>4.4341480056562199</v>
      </c>
      <c r="K45" s="50">
        <f ca="1">IFERROR(IF(OFFSET(Auxiliar!$A$1,MATCH(J45,IF($L$2="F.F.",Auxiliar!$C$1:$C$12,Auxiliar!$B$1:$B$12),1),0)&gt;$H$3,OFFSET(Auxiliar!$A$1,MATCH(J45,IF($L$2="F.F.",Auxiliar!$C$1:$C$12,Auxiliar!$B$1:$B$12),1),0),$H$3),$H$3)</f>
        <v>100</v>
      </c>
      <c r="L45" s="48">
        <f t="shared" ca="1" si="0"/>
        <v>0.56457325880100551</v>
      </c>
      <c r="M45" s="66">
        <f t="shared" ca="1" si="13"/>
        <v>3.7432119593930639E-3</v>
      </c>
      <c r="N45" s="52">
        <f t="shared" ca="1" si="11"/>
        <v>889.87756750106746</v>
      </c>
      <c r="O45" s="49">
        <f t="shared" ca="1" si="7"/>
        <v>0.19090380992904626</v>
      </c>
      <c r="P45" s="49">
        <f t="shared" ca="1" si="8"/>
        <v>889.68666369113839</v>
      </c>
      <c r="Q45" s="64">
        <v>869.74</v>
      </c>
      <c r="R45" s="49">
        <f t="shared" ca="1" si="9"/>
        <v>19.946663691138383</v>
      </c>
      <c r="S45" s="49">
        <f t="shared" si="10"/>
        <v>24.050000000000068</v>
      </c>
      <c r="T45" s="65" t="str">
        <f t="shared" si="15"/>
        <v/>
      </c>
    </row>
    <row r="46" spans="1:20" ht="18" customHeight="1" x14ac:dyDescent="0.2">
      <c r="A46" s="83">
        <v>40</v>
      </c>
      <c r="B46" s="85">
        <v>71</v>
      </c>
      <c r="C46" s="63" t="s">
        <v>52</v>
      </c>
      <c r="D46" s="80" cm="1">
        <f t="array" ref="D46">_xlfn.IFS(C46=Auxiliar!$A$15,B46,C46=Auxiliar!$A$16,B46/2,Dimensionamento!C46=Auxiliar!$A$17,0)</f>
        <v>71</v>
      </c>
      <c r="E46" s="86">
        <v>39</v>
      </c>
      <c r="F46" s="63" t="s">
        <v>51</v>
      </c>
      <c r="G46" s="49">
        <f t="shared" si="14"/>
        <v>2.4547171666532952</v>
      </c>
      <c r="H46" s="49">
        <f t="shared" si="3"/>
        <v>0.25115814941439485</v>
      </c>
      <c r="I46" s="51">
        <f t="shared" si="4"/>
        <v>2.2035590172389004</v>
      </c>
      <c r="J46" s="49">
        <f t="shared" si="5"/>
        <v>2.3291380919460978</v>
      </c>
      <c r="K46" s="50">
        <f ca="1">IFERROR(IF(OFFSET(Auxiliar!$A$1,MATCH(J46,IF($L$2="F.F.",Auxiliar!$C$1:$C$12,Auxiliar!$B$1:$B$12),1),0)&gt;$H$3,OFFSET(Auxiliar!$A$1,MATCH(J46,IF($L$2="F.F.",Auxiliar!$C$1:$C$12,Auxiliar!$B$1:$B$12),1),0),$H$3),$H$3)</f>
        <v>75</v>
      </c>
      <c r="L46" s="48">
        <f t="shared" ca="1" si="0"/>
        <v>0.52720901756707106</v>
      </c>
      <c r="M46" s="66">
        <f t="shared" ca="1" si="13"/>
        <v>4.6175160640438894E-3</v>
      </c>
      <c r="N46" s="52">
        <f t="shared" ca="1" si="11"/>
        <v>889.68666369113839</v>
      </c>
      <c r="O46" s="49">
        <f t="shared" ca="1" si="7"/>
        <v>0.32784364054711618</v>
      </c>
      <c r="P46" s="49">
        <f t="shared" ca="1" si="8"/>
        <v>889.35882005059125</v>
      </c>
      <c r="Q46" s="64">
        <v>869.88</v>
      </c>
      <c r="R46" s="49">
        <f t="shared" ca="1" si="9"/>
        <v>19.478820050591253</v>
      </c>
      <c r="S46" s="49">
        <f t="shared" si="10"/>
        <v>23.910000000000082</v>
      </c>
      <c r="T46" s="65" t="str">
        <f t="shared" si="15"/>
        <v/>
      </c>
    </row>
    <row r="47" spans="1:20" ht="15.95" customHeight="1" x14ac:dyDescent="0.2">
      <c r="A47" s="83">
        <v>41</v>
      </c>
      <c r="B47" s="85">
        <v>57.34</v>
      </c>
      <c r="C47" s="63" t="s">
        <v>52</v>
      </c>
      <c r="D47" s="80" cm="1">
        <f t="array" ref="D47">_xlfn.IFS(C47=Auxiliar!$A$15,B47,C47=Auxiliar!$A$16,B47/2,Dimensionamento!C47=Auxiliar!$A$17,0)</f>
        <v>57.34</v>
      </c>
      <c r="E47" s="86">
        <v>40</v>
      </c>
      <c r="F47" s="63" t="s">
        <v>51</v>
      </c>
      <c r="G47" s="49">
        <f t="shared" si="14"/>
        <v>2.2035590172389004</v>
      </c>
      <c r="H47" s="49">
        <f t="shared" si="3"/>
        <v>0.20283673644255493</v>
      </c>
      <c r="I47" s="51">
        <f t="shared" si="4"/>
        <v>2.0007222807963454</v>
      </c>
      <c r="J47" s="49">
        <f t="shared" si="5"/>
        <v>2.1021406490176231</v>
      </c>
      <c r="K47" s="50">
        <f ca="1">IFERROR(IF(OFFSET(Auxiliar!$A$1,MATCH(J47,IF($L$2="F.F.",Auxiliar!$C$1:$C$12,Auxiliar!$B$1:$B$12),1),0)&gt;$H$3,OFFSET(Auxiliar!$A$1,MATCH(J47,IF($L$2="F.F.",Auxiliar!$C$1:$C$12,Auxiliar!$B$1:$B$12),1),0),$H$3),$H$3)</f>
        <v>75</v>
      </c>
      <c r="L47" s="48">
        <f t="shared" ca="1" si="0"/>
        <v>0.47582730718657384</v>
      </c>
      <c r="M47" s="66">
        <f t="shared" ca="1" si="13"/>
        <v>3.8196317915006744E-3</v>
      </c>
      <c r="N47" s="52">
        <f t="shared" ca="1" si="11"/>
        <v>889.35882005059125</v>
      </c>
      <c r="O47" s="49">
        <f t="shared" ca="1" si="7"/>
        <v>0.21901768692464868</v>
      </c>
      <c r="P47" s="49">
        <f t="shared" ca="1" si="8"/>
        <v>889.1398023636666</v>
      </c>
      <c r="Q47" s="64">
        <v>869.95</v>
      </c>
      <c r="R47" s="49">
        <f t="shared" ca="1" si="9"/>
        <v>19.189802363666558</v>
      </c>
      <c r="S47" s="49">
        <f t="shared" si="10"/>
        <v>23.840000000000032</v>
      </c>
      <c r="T47" s="65" t="str">
        <f t="shared" si="15"/>
        <v/>
      </c>
    </row>
    <row r="48" spans="1:20" ht="15.95" customHeight="1" x14ac:dyDescent="0.2">
      <c r="A48" s="83">
        <v>42</v>
      </c>
      <c r="B48" s="85">
        <v>127.83</v>
      </c>
      <c r="C48" s="63" t="s">
        <v>52</v>
      </c>
      <c r="D48" s="80" cm="1">
        <f t="array" ref="D48">_xlfn.IFS(C48=Auxiliar!$A$15,B48,C48=Auxiliar!$A$16,B48/2,Dimensionamento!C48=Auxiliar!$A$17,0)</f>
        <v>127.83</v>
      </c>
      <c r="E48" s="86">
        <v>41</v>
      </c>
      <c r="F48" s="63" t="s">
        <v>51</v>
      </c>
      <c r="G48" s="49">
        <f t="shared" si="14"/>
        <v>1.910517593330612</v>
      </c>
      <c r="H48" s="49">
        <f t="shared" si="3"/>
        <v>0.45219079210763508</v>
      </c>
      <c r="I48" s="51">
        <f t="shared" si="4"/>
        <v>1.4583268012229769</v>
      </c>
      <c r="J48" s="49">
        <f t="shared" si="5"/>
        <v>1.6844221972767945</v>
      </c>
      <c r="K48" s="50">
        <f ca="1">IFERROR(IF(OFFSET(Auxiliar!$A$1,MATCH(J48,IF($L$2="F.F.",Auxiliar!$C$1:$C$12,Auxiliar!$B$1:$B$12),1),0)&gt;$H$3,OFFSET(Auxiliar!$A$1,MATCH(J48,IF($L$2="F.F.",Auxiliar!$C$1:$C$12,Auxiliar!$B$1:$B$12),1),0),$H$3),$H$3)</f>
        <v>75</v>
      </c>
      <c r="L48" s="48">
        <f t="shared" ca="1" si="0"/>
        <v>0.38127519139600147</v>
      </c>
      <c r="M48" s="66">
        <f t="shared" ca="1" si="13"/>
        <v>2.535312472225167E-3</v>
      </c>
      <c r="N48" s="52">
        <f t="shared" ca="1" si="11"/>
        <v>889.1398023636666</v>
      </c>
      <c r="O48" s="49">
        <f t="shared" ca="1" si="7"/>
        <v>0.32408899332454311</v>
      </c>
      <c r="P48" s="49">
        <f t="shared" ca="1" si="8"/>
        <v>888.81571337034211</v>
      </c>
      <c r="Q48" s="64">
        <v>869.88</v>
      </c>
      <c r="R48" s="49">
        <f t="shared" ca="1" si="9"/>
        <v>18.935713370342114</v>
      </c>
      <c r="S48" s="49">
        <f t="shared" si="10"/>
        <v>23.910000000000082</v>
      </c>
      <c r="T48" s="65" t="str">
        <f t="shared" si="15"/>
        <v/>
      </c>
    </row>
    <row r="49" spans="1:20" ht="15.95" customHeight="1" x14ac:dyDescent="0.2">
      <c r="A49" s="83">
        <v>43</v>
      </c>
      <c r="B49" s="85">
        <v>51</v>
      </c>
      <c r="C49" s="63" t="s">
        <v>51</v>
      </c>
      <c r="D49" s="80" cm="1">
        <f t="array" ref="D49">_xlfn.IFS(C49=Auxiliar!$A$15,B49,C49=Auxiliar!$A$16,B49/2,Dimensionamento!C49=Auxiliar!$A$17,0)</f>
        <v>25.5</v>
      </c>
      <c r="E49" s="86">
        <v>41</v>
      </c>
      <c r="F49" s="63" t="s">
        <v>52</v>
      </c>
      <c r="G49" s="49">
        <f t="shared" si="14"/>
        <v>9.0204687465733346E-2</v>
      </c>
      <c r="H49" s="49">
        <f t="shared" si="3"/>
        <v>9.0204687465733346E-2</v>
      </c>
      <c r="I49" s="51">
        <f t="shared" si="4"/>
        <v>0</v>
      </c>
      <c r="J49" s="49">
        <f t="shared" si="5"/>
        <v>0.6</v>
      </c>
      <c r="K49" s="50">
        <f ca="1">IFERROR(IF(OFFSET(Auxiliar!$A$1,MATCH(J49,IF($L$2="F.F.",Auxiliar!$C$1:$C$12,Auxiliar!$B$1:$B$12),1),0)&gt;$H$3,OFFSET(Auxiliar!$A$1,MATCH(J49,IF($L$2="F.F.",Auxiliar!$C$1:$C$12,Auxiliar!$B$1:$B$12),1),0),$H$3),$H$3)</f>
        <v>50</v>
      </c>
      <c r="L49" s="48">
        <f t="shared" ca="1" si="0"/>
        <v>0.30557749073643903</v>
      </c>
      <c r="M49" s="66">
        <f t="shared" ca="1" si="13"/>
        <v>2.7054621926271396E-3</v>
      </c>
      <c r="N49" s="52">
        <f t="shared" ca="1" si="11"/>
        <v>889.1398023636666</v>
      </c>
      <c r="O49" s="49">
        <f t="shared" ca="1" si="7"/>
        <v>0.13797857182398413</v>
      </c>
      <c r="P49" s="49">
        <f t="shared" ca="1" si="8"/>
        <v>889.00182379184264</v>
      </c>
      <c r="Q49" s="64">
        <v>868.61</v>
      </c>
      <c r="R49" s="49">
        <f t="shared" ca="1" si="9"/>
        <v>20.391823791842626</v>
      </c>
      <c r="S49" s="49">
        <f t="shared" si="10"/>
        <v>25.180000000000064</v>
      </c>
      <c r="T49" s="65" t="str">
        <f t="shared" si="15"/>
        <v/>
      </c>
    </row>
    <row r="50" spans="1:20" ht="15.95" customHeight="1" x14ac:dyDescent="0.2">
      <c r="A50" s="83">
        <v>44</v>
      </c>
      <c r="B50" s="85">
        <v>51</v>
      </c>
      <c r="C50" s="63" t="s">
        <v>51</v>
      </c>
      <c r="D50" s="80" cm="1">
        <f t="array" ref="D50">_xlfn.IFS(C50=Auxiliar!$A$15,B50,C50=Auxiliar!$A$16,B50/2,Dimensionamento!C50=Auxiliar!$A$17,0)</f>
        <v>25.5</v>
      </c>
      <c r="E50" s="86">
        <v>42</v>
      </c>
      <c r="F50" s="63" t="s">
        <v>52</v>
      </c>
      <c r="G50" s="49">
        <f t="shared" si="14"/>
        <v>9.0204687465733346E-2</v>
      </c>
      <c r="H50" s="49">
        <f t="shared" si="3"/>
        <v>9.0204687465733346E-2</v>
      </c>
      <c r="I50" s="51">
        <f t="shared" si="4"/>
        <v>0</v>
      </c>
      <c r="J50" s="49">
        <f t="shared" si="5"/>
        <v>0.6</v>
      </c>
      <c r="K50" s="50">
        <f ca="1">IFERROR(IF(OFFSET(Auxiliar!$A$1,MATCH(J50,IF($L$2="F.F.",Auxiliar!$C$1:$C$12,Auxiliar!$B$1:$B$12),1),0)&gt;$H$3,OFFSET(Auxiliar!$A$1,MATCH(J50,IF($L$2="F.F.",Auxiliar!$C$1:$C$12,Auxiliar!$B$1:$B$12),1),0),$H$3),$H$3)</f>
        <v>50</v>
      </c>
      <c r="L50" s="48">
        <f t="shared" ca="1" si="0"/>
        <v>0.30557749073643903</v>
      </c>
      <c r="M50" s="66">
        <f t="shared" ca="1" si="13"/>
        <v>2.7054621926271396E-3</v>
      </c>
      <c r="N50" s="52">
        <f t="shared" ca="1" si="11"/>
        <v>888.81571337034211</v>
      </c>
      <c r="O50" s="49">
        <f t="shared" ca="1" si="7"/>
        <v>0.13797857182398413</v>
      </c>
      <c r="P50" s="49">
        <f t="shared" ca="1" si="8"/>
        <v>888.67773479851814</v>
      </c>
      <c r="Q50" s="64">
        <v>868.47</v>
      </c>
      <c r="R50" s="49">
        <f t="shared" ca="1" si="9"/>
        <v>20.207734798518118</v>
      </c>
      <c r="S50" s="49">
        <f t="shared" si="10"/>
        <v>25.32000000000005</v>
      </c>
      <c r="T50" s="65" t="str">
        <f t="shared" si="15"/>
        <v/>
      </c>
    </row>
    <row r="51" spans="1:20" ht="15.95" customHeight="1" x14ac:dyDescent="0.2">
      <c r="A51" s="83">
        <v>45</v>
      </c>
      <c r="B51" s="85">
        <v>5.1459999999999999</v>
      </c>
      <c r="C51" s="63" t="s">
        <v>49</v>
      </c>
      <c r="D51" s="80" cm="1">
        <f t="array" ref="D51">_xlfn.IFS(C51=Auxiliar!$A$15,B51,C51=Auxiliar!$A$16,B51/2,Dimensionamento!C51=Auxiliar!$A$17,0)</f>
        <v>0</v>
      </c>
      <c r="E51" s="86">
        <v>39</v>
      </c>
      <c r="F51" s="63" t="s">
        <v>51</v>
      </c>
      <c r="G51" s="49">
        <f t="shared" si="14"/>
        <v>1.9794308390029245</v>
      </c>
      <c r="H51" s="49">
        <f t="shared" si="3"/>
        <v>0</v>
      </c>
      <c r="I51" s="51">
        <f t="shared" si="4"/>
        <v>1.9794308390029245</v>
      </c>
      <c r="J51" s="49">
        <f t="shared" si="5"/>
        <v>1.9794308390029245</v>
      </c>
      <c r="K51" s="50">
        <f ca="1">IFERROR(IF(OFFSET(Auxiliar!$A$1,MATCH(J51,IF($L$2="F.F.",Auxiliar!$C$1:$C$12,Auxiliar!$B$1:$B$12),1),0)&gt;$H$3,OFFSET(Auxiliar!$A$1,MATCH(J51,IF($L$2="F.F.",Auxiliar!$C$1:$C$12,Auxiliar!$B$1:$B$12),1),0),$H$3),$H$3)</f>
        <v>75</v>
      </c>
      <c r="L51" s="48">
        <f t="shared" ca="1" si="0"/>
        <v>0.44805148805099104</v>
      </c>
      <c r="M51" s="66">
        <f t="shared" ca="1" si="13"/>
        <v>3.4174080568893307E-3</v>
      </c>
      <c r="N51" s="52">
        <f t="shared" ca="1" si="11"/>
        <v>889.68666369113839</v>
      </c>
      <c r="O51" s="49">
        <f t="shared" ca="1" si="7"/>
        <v>1.7585981860752494E-2</v>
      </c>
      <c r="P51" s="49">
        <f t="shared" ca="1" si="8"/>
        <v>889.66907770927764</v>
      </c>
      <c r="Q51" s="64">
        <v>869.64</v>
      </c>
      <c r="R51" s="49">
        <f t="shared" ca="1" si="9"/>
        <v>20.029077709277658</v>
      </c>
      <c r="S51" s="49">
        <f t="shared" si="10"/>
        <v>24.150000000000091</v>
      </c>
      <c r="T51" s="65" t="str">
        <f t="shared" si="15"/>
        <v/>
      </c>
    </row>
    <row r="52" spans="1:20" ht="15.95" customHeight="1" x14ac:dyDescent="0.2">
      <c r="A52" s="88">
        <v>46</v>
      </c>
      <c r="B52" s="85">
        <v>75.668000000000006</v>
      </c>
      <c r="C52" s="63" t="s">
        <v>51</v>
      </c>
      <c r="D52" s="80" cm="1">
        <f t="array" ref="D52">_xlfn.IFS(C52=Auxiliar!$A$15,B52,C52=Auxiliar!$A$16,B52/2,Dimensionamento!C52=Auxiliar!$A$17,0)</f>
        <v>37.834000000000003</v>
      </c>
      <c r="E52" s="86">
        <v>45</v>
      </c>
      <c r="F52" s="63" t="s">
        <v>51</v>
      </c>
      <c r="G52" s="49">
        <f t="shared" si="14"/>
        <v>1.9794308390029245</v>
      </c>
      <c r="H52" s="49">
        <f>(D52*$L$5)+Auxiliar!A25</f>
        <v>1.6338354566893551</v>
      </c>
      <c r="I52" s="51">
        <f t="shared" si="4"/>
        <v>0.34559538231356934</v>
      </c>
      <c r="J52" s="49">
        <f t="shared" si="5"/>
        <v>1.1625131106582469</v>
      </c>
      <c r="K52" s="50">
        <f ca="1">IFERROR(IF(OFFSET(Auxiliar!$A$1,MATCH(J52,IF($L$2="F.F.",Auxiliar!$C$1:$C$12,Auxiliar!$B$1:$B$12),1),0)&gt;$H$3,OFFSET(Auxiliar!$A$1,MATCH(J52,IF($L$2="F.F.",Auxiliar!$C$1:$C$12,Auxiliar!$B$1:$B$12),1),0),$H$3),$H$3)</f>
        <v>75</v>
      </c>
      <c r="L52" s="48">
        <f t="shared" ca="1" si="0"/>
        <v>0.26313914022456247</v>
      </c>
      <c r="M52" s="66">
        <f t="shared" ca="1" si="13"/>
        <v>1.2766835558487258E-3</v>
      </c>
      <c r="N52" s="52">
        <f t="shared" ca="1" si="11"/>
        <v>889.66907770927764</v>
      </c>
      <c r="O52" s="49">
        <f t="shared" ca="1" si="7"/>
        <v>9.6604091303961387E-2</v>
      </c>
      <c r="P52" s="49">
        <f t="shared" ca="1" si="8"/>
        <v>889.57247361797363</v>
      </c>
      <c r="Q52" s="64">
        <v>868.71</v>
      </c>
      <c r="R52" s="49">
        <f t="shared" ca="1" si="9"/>
        <v>20.862473617973592</v>
      </c>
      <c r="S52" s="49">
        <f t="shared" si="10"/>
        <v>25.080000000000041</v>
      </c>
      <c r="T52" s="65" t="str">
        <f t="shared" si="15"/>
        <v/>
      </c>
    </row>
    <row r="53" spans="1:20" ht="15.95" customHeight="1" x14ac:dyDescent="0.2">
      <c r="A53" s="83">
        <v>47</v>
      </c>
      <c r="B53" s="85">
        <v>67.563000000000002</v>
      </c>
      <c r="C53" s="63" t="s">
        <v>51</v>
      </c>
      <c r="D53" s="80" cm="1">
        <f t="array" ref="D53">_xlfn.IFS(C53=Auxiliar!$A$15,B53,C53=Auxiliar!$A$16,B53/2,Dimensionamento!C53=Auxiliar!$A$17,0)</f>
        <v>33.781500000000001</v>
      </c>
      <c r="E53" s="86">
        <v>46</v>
      </c>
      <c r="F53" s="63" t="s">
        <v>51</v>
      </c>
      <c r="G53" s="49">
        <f t="shared" si="14"/>
        <v>0.34559538231356934</v>
      </c>
      <c r="H53" s="49">
        <f t="shared" ref="H53:H62" si="16">D53*$L$5</f>
        <v>0.11949998625975182</v>
      </c>
      <c r="I53" s="51">
        <f t="shared" si="4"/>
        <v>0.22609539605381754</v>
      </c>
      <c r="J53" s="49">
        <f t="shared" si="5"/>
        <v>0.6</v>
      </c>
      <c r="K53" s="50">
        <f ca="1">IFERROR(IF(OFFSET(Auxiliar!$A$1,MATCH(J53,IF($L$2="F.F.",Auxiliar!$C$1:$C$12,Auxiliar!$B$1:$B$12),1),0)&gt;$H$3,OFFSET(Auxiliar!$A$1,MATCH(J53,IF($L$2="F.F.",Auxiliar!$C$1:$C$12,Auxiliar!$B$1:$B$12),1),0),$H$3),$H$3)</f>
        <v>50</v>
      </c>
      <c r="L53" s="48">
        <f t="shared" ca="1" si="0"/>
        <v>0.30557749073643903</v>
      </c>
      <c r="M53" s="66">
        <f t="shared" ca="1" si="13"/>
        <v>2.7054621926271396E-3</v>
      </c>
      <c r="N53" s="52">
        <f t="shared" ca="1" si="11"/>
        <v>889.57247361797363</v>
      </c>
      <c r="O53" s="49">
        <f t="shared" ca="1" si="7"/>
        <v>0.18278914212046743</v>
      </c>
      <c r="P53" s="49">
        <f t="shared" ca="1" si="8"/>
        <v>889.38968447585319</v>
      </c>
      <c r="Q53" s="64">
        <v>868.61</v>
      </c>
      <c r="R53" s="49">
        <f t="shared" ca="1" si="9"/>
        <v>20.779684475853173</v>
      </c>
      <c r="S53" s="49">
        <f t="shared" si="10"/>
        <v>25.180000000000064</v>
      </c>
      <c r="T53" s="65" t="str">
        <f t="shared" si="15"/>
        <v/>
      </c>
    </row>
    <row r="54" spans="1:20" ht="15.95" customHeight="1" x14ac:dyDescent="0.2">
      <c r="A54" s="83">
        <v>48</v>
      </c>
      <c r="B54" s="85">
        <v>127.83</v>
      </c>
      <c r="C54" s="63" t="s">
        <v>51</v>
      </c>
      <c r="D54" s="80" cm="1">
        <f t="array" ref="D54">_xlfn.IFS(C54=Auxiliar!$A$15,B54,C54=Auxiliar!$A$16,B54/2,Dimensionamento!C54=Auxiliar!$A$17,0)</f>
        <v>63.914999999999999</v>
      </c>
      <c r="E54" s="86">
        <v>47</v>
      </c>
      <c r="F54" s="63" t="s">
        <v>52</v>
      </c>
      <c r="G54" s="49">
        <f t="shared" si="14"/>
        <v>0.22609539605381754</v>
      </c>
      <c r="H54" s="49">
        <f t="shared" si="16"/>
        <v>0.22609539605381754</v>
      </c>
      <c r="I54" s="51">
        <f t="shared" si="4"/>
        <v>0</v>
      </c>
      <c r="J54" s="49">
        <f t="shared" si="5"/>
        <v>0.6</v>
      </c>
      <c r="K54" s="50">
        <f ca="1">IFERROR(IF(OFFSET(Auxiliar!$A$1,MATCH(J54,IF($L$2="F.F.",Auxiliar!$C$1:$C$12,Auxiliar!$B$1:$B$12),1),0)&gt;$H$3,OFFSET(Auxiliar!$A$1,MATCH(J54,IF($L$2="F.F.",Auxiliar!$C$1:$C$12,Auxiliar!$B$1:$B$12),1),0),$H$3),$H$3)</f>
        <v>50</v>
      </c>
      <c r="L54" s="48">
        <f t="shared" ca="1" si="0"/>
        <v>0.30557749073643903</v>
      </c>
      <c r="M54" s="66">
        <f t="shared" ca="1" si="13"/>
        <v>2.7054621926271396E-3</v>
      </c>
      <c r="N54" s="52">
        <f t="shared" ca="1" si="11"/>
        <v>889.38968447585319</v>
      </c>
      <c r="O54" s="49">
        <f t="shared" ca="1" si="7"/>
        <v>0.34583923208352724</v>
      </c>
      <c r="P54" s="49">
        <f t="shared" ca="1" si="8"/>
        <v>889.04384524376962</v>
      </c>
      <c r="Q54" s="64">
        <v>868.47</v>
      </c>
      <c r="R54" s="49">
        <f t="shared" ca="1" si="9"/>
        <v>20.573845243769597</v>
      </c>
      <c r="S54" s="49">
        <f t="shared" si="10"/>
        <v>25.32000000000005</v>
      </c>
      <c r="T54" s="65" t="str">
        <f t="shared" si="15"/>
        <v/>
      </c>
    </row>
    <row r="55" spans="1:20" ht="15.95" customHeight="1" x14ac:dyDescent="0.2">
      <c r="A55" s="83">
        <v>49</v>
      </c>
      <c r="B55" s="85">
        <v>20.004999999999999</v>
      </c>
      <c r="C55" s="63" t="s">
        <v>52</v>
      </c>
      <c r="D55" s="80" cm="1">
        <f t="array" ref="D55">_xlfn.IFS(C55=Auxiliar!$A$15,B55,C55=Auxiliar!$A$16,B55/2,Dimensionamento!C55=Auxiliar!$A$17,0)</f>
        <v>20.004999999999999</v>
      </c>
      <c r="E55" s="86">
        <v>1</v>
      </c>
      <c r="F55" s="63" t="s">
        <v>51</v>
      </c>
      <c r="G55" s="49">
        <f t="shared" si="14"/>
        <v>17.027498843672547</v>
      </c>
      <c r="H55" s="49">
        <f t="shared" si="16"/>
        <v>7.0766461676548847E-2</v>
      </c>
      <c r="I55" s="51">
        <f t="shared" si="4"/>
        <v>16.956732381995998</v>
      </c>
      <c r="J55" s="49">
        <f t="shared" si="5"/>
        <v>16.992115612834272</v>
      </c>
      <c r="K55" s="50">
        <f ca="1">IFERROR(IF(OFFSET(Auxiliar!$A$1,MATCH(J55,IF($L$2="F.F.",Auxiliar!$C$1:$C$12,Auxiliar!$B$1:$B$12),1),0)&gt;$H$3,OFFSET(Auxiliar!$A$1,MATCH(J55,IF($L$2="F.F.",Auxiliar!$C$1:$C$12,Auxiliar!$B$1:$B$12),1),0),$H$3),$H$3)</f>
        <v>150</v>
      </c>
      <c r="L55" s="48">
        <f t="shared" ca="1" si="0"/>
        <v>0.96155704653210483</v>
      </c>
      <c r="M55" s="66">
        <f t="shared" ca="1" si="13"/>
        <v>6.2379075806201154E-3</v>
      </c>
      <c r="N55" s="52">
        <f t="shared" ca="1" si="11"/>
        <v>891.38088780996668</v>
      </c>
      <c r="O55" s="49">
        <f t="shared" ca="1" si="7"/>
        <v>0.12478934115030541</v>
      </c>
      <c r="P55" s="49">
        <f t="shared" ca="1" si="8"/>
        <v>891.25609846881639</v>
      </c>
      <c r="Q55" s="64">
        <v>880.51</v>
      </c>
      <c r="R55" s="49">
        <f t="shared" ca="1" si="9"/>
        <v>10.746098468816399</v>
      </c>
      <c r="S55" s="49">
        <f t="shared" si="10"/>
        <v>13.280000000000086</v>
      </c>
      <c r="T55" s="65" t="str">
        <f t="shared" si="15"/>
        <v/>
      </c>
    </row>
    <row r="56" spans="1:20" ht="15.95" customHeight="1" x14ac:dyDescent="0.2">
      <c r="A56" s="83">
        <v>50</v>
      </c>
      <c r="B56" s="85">
        <v>71</v>
      </c>
      <c r="C56" s="63" t="s">
        <v>52</v>
      </c>
      <c r="D56" s="80" cm="1">
        <f t="array" ref="D56">_xlfn.IFS(C56=Auxiliar!$A$15,B56,C56=Auxiliar!$A$16,B56/2,Dimensionamento!C56=Auxiliar!$A$17,0)</f>
        <v>71</v>
      </c>
      <c r="E56" s="86">
        <v>49</v>
      </c>
      <c r="F56" s="63" t="s">
        <v>51</v>
      </c>
      <c r="G56" s="49">
        <f t="shared" si="14"/>
        <v>8.8995984046951939</v>
      </c>
      <c r="H56" s="49">
        <f t="shared" si="16"/>
        <v>0.25115814941439485</v>
      </c>
      <c r="I56" s="51">
        <f t="shared" si="4"/>
        <v>8.6484402552808</v>
      </c>
      <c r="J56" s="49">
        <f t="shared" si="5"/>
        <v>8.7740193299879969</v>
      </c>
      <c r="K56" s="50">
        <f ca="1">IFERROR(IF(OFFSET(Auxiliar!$A$1,MATCH(J56,IF($L$2="F.F.",Auxiliar!$C$1:$C$12,Auxiliar!$B$1:$B$12),1),0)&gt;$H$3,OFFSET(Auxiliar!$A$1,MATCH(J56,IF($L$2="F.F.",Auxiliar!$C$1:$C$12,Auxiliar!$B$1:$B$12),1),0),$H$3),$H$3)</f>
        <v>125</v>
      </c>
      <c r="L56" s="48">
        <f t="shared" ca="1" si="0"/>
        <v>0.71497141614153192</v>
      </c>
      <c r="M56" s="66">
        <f t="shared" ca="1" si="13"/>
        <v>4.4628387932630041E-3</v>
      </c>
      <c r="N56" s="52">
        <f t="shared" ca="1" si="11"/>
        <v>891.25609846881639</v>
      </c>
      <c r="O56" s="49">
        <f t="shared" ca="1" si="7"/>
        <v>0.31686155432167329</v>
      </c>
      <c r="P56" s="49">
        <f t="shared" ca="1" si="8"/>
        <v>890.9392369144947</v>
      </c>
      <c r="Q56" s="64">
        <v>878.32</v>
      </c>
      <c r="R56" s="49">
        <f t="shared" ca="1" si="9"/>
        <v>12.61923691449465</v>
      </c>
      <c r="S56" s="49">
        <f t="shared" si="10"/>
        <v>15.470000000000027</v>
      </c>
      <c r="T56" s="65" t="str">
        <f t="shared" si="15"/>
        <v/>
      </c>
    </row>
    <row r="57" spans="1:20" ht="15.95" customHeight="1" x14ac:dyDescent="0.2">
      <c r="A57" s="83">
        <v>51</v>
      </c>
      <c r="B57" s="85">
        <v>57.34</v>
      </c>
      <c r="C57" s="63" t="s">
        <v>52</v>
      </c>
      <c r="D57" s="80" cm="1">
        <f t="array" ref="D57">_xlfn.IFS(C57=Auxiliar!$A$15,B57,C57=Auxiliar!$A$16,B57/2,Dimensionamento!C57=Auxiliar!$A$17,0)</f>
        <v>57.34</v>
      </c>
      <c r="E57" s="86">
        <v>49</v>
      </c>
      <c r="F57" s="63" t="s">
        <v>51</v>
      </c>
      <c r="G57" s="49">
        <f t="shared" si="14"/>
        <v>8.0571339773008024</v>
      </c>
      <c r="H57" s="49">
        <f t="shared" si="16"/>
        <v>0.20283673644255493</v>
      </c>
      <c r="I57" s="51">
        <f t="shared" si="4"/>
        <v>7.854297240858247</v>
      </c>
      <c r="J57" s="49">
        <f t="shared" si="5"/>
        <v>7.9557156090795242</v>
      </c>
      <c r="K57" s="50">
        <f ca="1">IFERROR(IF(OFFSET(Auxiliar!$A$1,MATCH(J57,IF($L$2="F.F.",Auxiliar!$C$1:$C$12,Auxiliar!$B$1:$B$12),1),0)&gt;$H$3,OFFSET(Auxiliar!$A$1,MATCH(J57,IF($L$2="F.F.",Auxiliar!$C$1:$C$12,Auxiliar!$B$1:$B$12),1),0),$H$3),$H$3)</f>
        <v>125</v>
      </c>
      <c r="L57" s="48">
        <f t="shared" ca="1" si="0"/>
        <v>0.6482900300893979</v>
      </c>
      <c r="M57" s="66">
        <f t="shared" ca="1" si="13"/>
        <v>3.7234920125503264E-3</v>
      </c>
      <c r="N57" s="52">
        <f t="shared" ca="1" si="11"/>
        <v>891.25609846881639</v>
      </c>
      <c r="O57" s="49">
        <f t="shared" ca="1" si="7"/>
        <v>0.21350503199963572</v>
      </c>
      <c r="P57" s="49">
        <f t="shared" ca="1" si="8"/>
        <v>891.04259343681679</v>
      </c>
      <c r="Q57" s="64">
        <v>879.89</v>
      </c>
      <c r="R57" s="49">
        <f t="shared" ca="1" si="9"/>
        <v>11.152593436816801</v>
      </c>
      <c r="S57" s="49">
        <f t="shared" si="10"/>
        <v>13.900000000000091</v>
      </c>
      <c r="T57" s="65" t="str">
        <f t="shared" si="15"/>
        <v/>
      </c>
    </row>
    <row r="58" spans="1:20" ht="15.95" customHeight="1" x14ac:dyDescent="0.2">
      <c r="A58" s="83">
        <v>52</v>
      </c>
      <c r="B58" s="85">
        <v>127.83</v>
      </c>
      <c r="C58" s="63" t="s">
        <v>52</v>
      </c>
      <c r="D58" s="80" cm="1">
        <f t="array" ref="D58">_xlfn.IFS(C58=Auxiliar!$A$15,B58,C58=Auxiliar!$A$16,B58/2,Dimensionamento!C58=Auxiliar!$A$17,0)</f>
        <v>127.83</v>
      </c>
      <c r="E58" s="86">
        <v>51</v>
      </c>
      <c r="F58" s="63" t="s">
        <v>51</v>
      </c>
      <c r="G58" s="49">
        <f t="shared" si="14"/>
        <v>1.2445770663164299</v>
      </c>
      <c r="H58" s="49">
        <f t="shared" si="16"/>
        <v>0.45219079210763508</v>
      </c>
      <c r="I58" s="51">
        <f t="shared" si="4"/>
        <v>0.79238627420879493</v>
      </c>
      <c r="J58" s="49">
        <f t="shared" si="5"/>
        <v>1.0184816702626125</v>
      </c>
      <c r="K58" s="50">
        <f ca="1">IFERROR(IF(OFFSET(Auxiliar!$A$1,MATCH(J58,IF($L$2="F.F.",Auxiliar!$C$1:$C$12,Auxiliar!$B$1:$B$12),1),0)&gt;$H$3,OFFSET(Auxiliar!$A$1,MATCH(J58,IF($L$2="F.F.",Auxiliar!$C$1:$C$12,Auxiliar!$B$1:$B$12),1),0),$H$3),$H$3)</f>
        <v>50</v>
      </c>
      <c r="L58" s="48">
        <f t="shared" ca="1" si="0"/>
        <v>0.51870845526651077</v>
      </c>
      <c r="M58" s="66">
        <f t="shared" ca="1" si="13"/>
        <v>7.2007064783314416E-3</v>
      </c>
      <c r="N58" s="52">
        <f t="shared" ca="1" si="11"/>
        <v>891.04259343681679</v>
      </c>
      <c r="O58" s="49">
        <f t="shared" ca="1" si="7"/>
        <v>0.92046630912510818</v>
      </c>
      <c r="P58" s="49">
        <f t="shared" ca="1" si="8"/>
        <v>890.12212712769167</v>
      </c>
      <c r="Q58" s="64">
        <v>874.39</v>
      </c>
      <c r="R58" s="49">
        <f t="shared" ca="1" si="9"/>
        <v>15.732127127691683</v>
      </c>
      <c r="S58" s="49">
        <f t="shared" si="10"/>
        <v>19.400000000000091</v>
      </c>
      <c r="T58" s="65" t="str">
        <f t="shared" si="15"/>
        <v/>
      </c>
    </row>
    <row r="59" spans="1:20" ht="15.95" customHeight="1" x14ac:dyDescent="0.2">
      <c r="A59" s="90">
        <v>53</v>
      </c>
      <c r="B59" s="85">
        <v>51</v>
      </c>
      <c r="C59" s="63" t="s">
        <v>51</v>
      </c>
      <c r="D59" s="80" cm="1">
        <f t="array" ref="D59">_xlfn.IFS(C59=Auxiliar!$A$15,B59,C59=Auxiliar!$A$16,B59/2,Dimensionamento!C59=Auxiliar!$A$17,0)</f>
        <v>25.5</v>
      </c>
      <c r="E59" s="86">
        <v>51</v>
      </c>
      <c r="F59" s="63" t="s">
        <v>51</v>
      </c>
      <c r="G59" s="49">
        <f t="shared" si="14"/>
        <v>6.6097201745418168</v>
      </c>
      <c r="H59" s="49">
        <f t="shared" si="16"/>
        <v>9.0204687465733346E-2</v>
      </c>
      <c r="I59" s="51">
        <f t="shared" si="4"/>
        <v>6.5195154870760836</v>
      </c>
      <c r="J59" s="49">
        <f t="shared" si="5"/>
        <v>6.5646178308089507</v>
      </c>
      <c r="K59" s="50">
        <f ca="1">IFERROR(IF(OFFSET(Auxiliar!$A$1,MATCH(J59,IF($L$2="F.F.",Auxiliar!$C$1:$C$12,Auxiliar!$B$1:$B$12),1),0)&gt;$H$3,OFFSET(Auxiliar!$A$1,MATCH(J59,IF($L$2="F.F.",Auxiliar!$C$1:$C$12,Auxiliar!$B$1:$B$12),1),0),$H$3),$H$3)</f>
        <v>100</v>
      </c>
      <c r="L59" s="48">
        <f t="shared" ca="1" si="0"/>
        <v>0.83583310182595205</v>
      </c>
      <c r="M59" s="66">
        <f t="shared" ca="1" si="13"/>
        <v>7.7354049864019458E-3</v>
      </c>
      <c r="N59" s="52">
        <f t="shared" ca="1" si="11"/>
        <v>891.04259343681679</v>
      </c>
      <c r="O59" s="49">
        <f t="shared" ca="1" si="7"/>
        <v>0.39450565430649925</v>
      </c>
      <c r="P59" s="49">
        <f t="shared" ca="1" si="8"/>
        <v>890.64808778251029</v>
      </c>
      <c r="Q59" s="64">
        <v>878.84</v>
      </c>
      <c r="R59" s="49">
        <f t="shared" ca="1" si="9"/>
        <v>11.808087782510256</v>
      </c>
      <c r="S59" s="49">
        <f t="shared" si="10"/>
        <v>14.950000000000045</v>
      </c>
      <c r="T59" s="65" t="str">
        <f t="shared" si="15"/>
        <v/>
      </c>
    </row>
    <row r="60" spans="1:20" ht="15.95" customHeight="1" x14ac:dyDescent="0.2">
      <c r="A60" s="83">
        <v>54</v>
      </c>
      <c r="B60" s="85">
        <v>48.34</v>
      </c>
      <c r="C60" s="63" t="s">
        <v>51</v>
      </c>
      <c r="D60" s="80" cm="1">
        <f t="array" ref="D60">_xlfn.IFS(C60=Auxiliar!$A$15,B60,C60=Auxiliar!$A$16,B60/2,Dimensionamento!C60=Auxiliar!$A$17,0)</f>
        <v>24.17</v>
      </c>
      <c r="E60" s="86">
        <v>3</v>
      </c>
      <c r="F60" s="63" t="s">
        <v>52</v>
      </c>
      <c r="G60" s="49">
        <f t="shared" si="14"/>
        <v>8.5499893962618645E-2</v>
      </c>
      <c r="H60" s="49">
        <f t="shared" si="16"/>
        <v>8.5499893962618645E-2</v>
      </c>
      <c r="I60" s="51">
        <f t="shared" si="4"/>
        <v>0</v>
      </c>
      <c r="J60" s="49">
        <f t="shared" si="5"/>
        <v>0.6</v>
      </c>
      <c r="K60" s="50">
        <f ca="1">IFERROR(IF(OFFSET(Auxiliar!$A$1,MATCH(J60,IF($L$2="F.F.",Auxiliar!$C$1:$C$12,Auxiliar!$B$1:$B$12),1),0)&gt;$H$3,OFFSET(Auxiliar!$A$1,MATCH(J60,IF($L$2="F.F.",Auxiliar!$C$1:$C$12,Auxiliar!$B$1:$B$12),1),0),$H$3),$H$3)</f>
        <v>50</v>
      </c>
      <c r="L60" s="48">
        <f t="shared" ca="1" si="0"/>
        <v>0.30557749073643903</v>
      </c>
      <c r="M60" s="66">
        <f t="shared" ca="1" si="13"/>
        <v>2.7054621926271396E-3</v>
      </c>
      <c r="N60" s="52">
        <f t="shared" ca="1" si="11"/>
        <v>890.38873275392962</v>
      </c>
      <c r="O60" s="49">
        <f t="shared" ca="1" si="7"/>
        <v>0.13078204239159594</v>
      </c>
      <c r="P60" s="49">
        <f t="shared" ca="1" si="8"/>
        <v>890.257950711538</v>
      </c>
      <c r="Q60" s="64">
        <v>874.39</v>
      </c>
      <c r="R60" s="49">
        <f t="shared" ca="1" si="9"/>
        <v>15.867950711538015</v>
      </c>
      <c r="S60" s="49">
        <f t="shared" si="10"/>
        <v>19.400000000000091</v>
      </c>
      <c r="T60" s="65" t="str">
        <f t="shared" si="15"/>
        <v/>
      </c>
    </row>
    <row r="61" spans="1:20" ht="15.95" customHeight="1" x14ac:dyDescent="0.2">
      <c r="A61" s="81">
        <v>55</v>
      </c>
      <c r="B61" s="85">
        <v>51</v>
      </c>
      <c r="C61" s="63" t="s">
        <v>49</v>
      </c>
      <c r="D61" s="80" cm="1">
        <f t="array" ref="D61">_xlfn.IFS(C61=Auxiliar!$A$15,B61,C61=Auxiliar!$A$16,B61/2,Dimensionamento!C61=Auxiliar!$A$17,0)</f>
        <v>0</v>
      </c>
      <c r="E61" s="86">
        <v>52</v>
      </c>
      <c r="F61" s="74" t="s">
        <v>52</v>
      </c>
      <c r="G61" s="49">
        <f t="shared" si="14"/>
        <v>0</v>
      </c>
      <c r="H61" s="49">
        <f t="shared" si="16"/>
        <v>0</v>
      </c>
      <c r="I61" s="51">
        <f t="shared" si="4"/>
        <v>0</v>
      </c>
      <c r="J61" s="49">
        <f t="shared" si="5"/>
        <v>0.6</v>
      </c>
      <c r="K61" s="50">
        <f ca="1">IFERROR(IF(OFFSET(Auxiliar!$A$1,MATCH(J61,IF($L$2="F.F.",Auxiliar!$C$1:$C$12,Auxiliar!$B$1:$B$12),1),0)&gt;$H$3,OFFSET(Auxiliar!$A$1,MATCH(J61,IF($L$2="F.F.",Auxiliar!$C$1:$C$12,Auxiliar!$B$1:$B$12),1),0),$H$3),$H$3)</f>
        <v>50</v>
      </c>
      <c r="L61" s="48">
        <f t="shared" ca="1" si="0"/>
        <v>0.30557749073643903</v>
      </c>
      <c r="M61" s="66">
        <f t="shared" ca="1" si="13"/>
        <v>2.7054621926271396E-3</v>
      </c>
      <c r="N61" s="52">
        <f t="shared" ca="1" si="11"/>
        <v>890.12212712769167</v>
      </c>
      <c r="O61" s="49">
        <f t="shared" ca="1" si="7"/>
        <v>0.13797857182398413</v>
      </c>
      <c r="P61" s="49">
        <f t="shared" ca="1" si="8"/>
        <v>889.9841485558677</v>
      </c>
      <c r="Q61" s="64">
        <v>874.84</v>
      </c>
      <c r="R61" s="49">
        <f t="shared" ca="1" si="9"/>
        <v>15.144148555867673</v>
      </c>
      <c r="S61" s="49">
        <f t="shared" si="10"/>
        <v>18.950000000000045</v>
      </c>
      <c r="T61" s="65" t="str">
        <f t="shared" si="15"/>
        <v/>
      </c>
    </row>
    <row r="62" spans="1:20" ht="15.95" customHeight="1" x14ac:dyDescent="0.2">
      <c r="A62" s="83">
        <v>56</v>
      </c>
      <c r="B62" s="85">
        <v>26</v>
      </c>
      <c r="C62" s="63" t="s">
        <v>49</v>
      </c>
      <c r="D62" s="80" cm="1">
        <f t="array" ref="D62">_xlfn.IFS(C62=Auxiliar!$A$15,B62,C62=Auxiliar!$A$16,B62/2,Dimensionamento!C62=Auxiliar!$A$17,0)</f>
        <v>0</v>
      </c>
      <c r="E62" s="86">
        <v>3</v>
      </c>
      <c r="F62" s="63" t="s">
        <v>51</v>
      </c>
      <c r="G62" s="49">
        <f t="shared" si="14"/>
        <v>4.6886056526894127</v>
      </c>
      <c r="H62" s="49">
        <f t="shared" si="16"/>
        <v>0</v>
      </c>
      <c r="I62" s="51">
        <f t="shared" si="4"/>
        <v>4.6886056526894127</v>
      </c>
      <c r="J62" s="49">
        <f t="shared" si="5"/>
        <v>4.6886056526894127</v>
      </c>
      <c r="K62" s="50">
        <f ca="1">IFERROR(IF(OFFSET(Auxiliar!$A$1,MATCH(J62,IF($L$2="F.F.",Auxiliar!$C$1:$C$12,Auxiliar!$B$1:$B$12),1),0)&gt;$H$3,OFFSET(Auxiliar!$A$1,MATCH(J62,IF($L$2="F.F.",Auxiliar!$C$1:$C$12,Auxiliar!$B$1:$B$12),1),0),$H$3),$H$3)</f>
        <v>100</v>
      </c>
      <c r="L62" s="48">
        <f t="shared" ca="1" si="0"/>
        <v>0.59697181266729782</v>
      </c>
      <c r="M62" s="66">
        <f t="shared" ca="1" si="13"/>
        <v>4.1502707998244777E-3</v>
      </c>
      <c r="N62" s="52">
        <f t="shared" ca="1" si="11"/>
        <v>890.38873275392962</v>
      </c>
      <c r="O62" s="49">
        <f t="shared" ca="1" si="7"/>
        <v>0.10790704079543642</v>
      </c>
      <c r="P62" s="49">
        <f t="shared" ca="1" si="8"/>
        <v>890.28082571313416</v>
      </c>
      <c r="Q62" s="64">
        <v>873.2</v>
      </c>
      <c r="R62" s="49">
        <f t="shared" ca="1" si="9"/>
        <v>17.080825713134118</v>
      </c>
      <c r="S62" s="49">
        <f t="shared" si="10"/>
        <v>20.590000000000032</v>
      </c>
      <c r="T62" s="65" t="str">
        <f t="shared" si="15"/>
        <v/>
      </c>
    </row>
    <row r="63" spans="1:20" ht="15.95" customHeight="1" x14ac:dyDescent="0.2">
      <c r="A63" s="88">
        <v>57</v>
      </c>
      <c r="B63" s="85">
        <v>48.34</v>
      </c>
      <c r="C63" s="63" t="s">
        <v>51</v>
      </c>
      <c r="D63" s="80" cm="1">
        <f t="array" ref="D63">_xlfn.IFS(C63=Auxiliar!$A$15,B63,C63=Auxiliar!$A$16,B63/2,Dimensionamento!C63=Auxiliar!$A$17,0)</f>
        <v>24.17</v>
      </c>
      <c r="E63" s="86">
        <v>56</v>
      </c>
      <c r="F63" s="63" t="s">
        <v>52</v>
      </c>
      <c r="G63" s="49">
        <f t="shared" si="14"/>
        <v>1.2854998939626185</v>
      </c>
      <c r="H63" s="49">
        <f>(D63*$L$5)+Auxiliar!B25</f>
        <v>1.2854998939626185</v>
      </c>
      <c r="I63" s="51">
        <f t="shared" si="4"/>
        <v>0</v>
      </c>
      <c r="J63" s="49">
        <f t="shared" si="5"/>
        <v>0.64274994698130927</v>
      </c>
      <c r="K63" s="50">
        <f ca="1">IFERROR(IF(OFFSET(Auxiliar!$A$1,MATCH(J63,IF($L$2="F.F.",Auxiliar!$C$1:$C$12,Auxiliar!$B$1:$B$12),1),0)&gt;$H$3,OFFSET(Auxiliar!$A$1,MATCH(J63,IF($L$2="F.F.",Auxiliar!$C$1:$C$12,Auxiliar!$B$1:$B$12),1),0),$H$3),$H$3)</f>
        <v>50</v>
      </c>
      <c r="L63" s="48">
        <f t="shared" ca="1" si="0"/>
        <v>0.32734985994921284</v>
      </c>
      <c r="M63" s="66">
        <f t="shared" ca="1" si="13"/>
        <v>3.0728364630064437E-3</v>
      </c>
      <c r="N63" s="52">
        <f t="shared" ca="1" si="11"/>
        <v>890.28082571313416</v>
      </c>
      <c r="O63" s="49">
        <f t="shared" ca="1" si="7"/>
        <v>0.1485409146217315</v>
      </c>
      <c r="P63" s="49">
        <f t="shared" ca="1" si="8"/>
        <v>890.13228479851239</v>
      </c>
      <c r="Q63" s="64">
        <v>873.9</v>
      </c>
      <c r="R63" s="49">
        <f t="shared" ca="1" si="9"/>
        <v>16.23228479851241</v>
      </c>
      <c r="S63" s="49">
        <f t="shared" si="10"/>
        <v>19.8900000000001</v>
      </c>
      <c r="T63" s="65" t="str">
        <f t="shared" si="15"/>
        <v/>
      </c>
    </row>
    <row r="64" spans="1:20" ht="15.95" customHeight="1" x14ac:dyDescent="0.2">
      <c r="A64" s="83">
        <v>58</v>
      </c>
      <c r="B64" s="85">
        <v>61.796999999999997</v>
      </c>
      <c r="C64" s="63" t="s">
        <v>51</v>
      </c>
      <c r="D64" s="80" cm="1">
        <f t="array" ref="D64">_xlfn.IFS(C64=Auxiliar!$A$15,B64,C64=Auxiliar!$A$16,B64/2,Dimensionamento!C64=Auxiliar!$A$17,0)</f>
        <v>30.898499999999999</v>
      </c>
      <c r="E64" s="86">
        <v>56</v>
      </c>
      <c r="F64" s="63" t="s">
        <v>51</v>
      </c>
      <c r="G64" s="49">
        <f t="shared" si="14"/>
        <v>3.4031057587267943</v>
      </c>
      <c r="H64" s="49">
        <f>D64*$L$5</f>
        <v>0.10930155041803773</v>
      </c>
      <c r="I64" s="51">
        <f t="shared" si="4"/>
        <v>3.2938042083087566</v>
      </c>
      <c r="J64" s="49">
        <f t="shared" si="5"/>
        <v>3.3484549835177755</v>
      </c>
      <c r="K64" s="50">
        <f ca="1">IFERROR(IF(OFFSET(Auxiliar!$A$1,MATCH(J64,IF($L$2="F.F.",Auxiliar!$C$1:$C$12,Auxiliar!$B$1:$B$12),1),0)&gt;$H$3,OFFSET(Auxiliar!$A$1,MATCH(J64,IF($L$2="F.F.",Auxiliar!$C$1:$C$12,Auxiliar!$B$1:$B$12),1),0),$H$3),$H$3)</f>
        <v>100</v>
      </c>
      <c r="L64" s="48">
        <f t="shared" ca="1" si="0"/>
        <v>0.42633852987803589</v>
      </c>
      <c r="M64" s="66">
        <f t="shared" ca="1" si="13"/>
        <v>2.2264238049695645E-3</v>
      </c>
      <c r="N64" s="52">
        <f t="shared" ca="1" si="11"/>
        <v>890.28082571313416</v>
      </c>
      <c r="O64" s="49">
        <f t="shared" ca="1" si="7"/>
        <v>0.13758631187570416</v>
      </c>
      <c r="P64" s="49">
        <f t="shared" ca="1" si="8"/>
        <v>890.14323940125848</v>
      </c>
      <c r="Q64" s="64">
        <v>872.3</v>
      </c>
      <c r="R64" s="49">
        <f t="shared" ca="1" si="9"/>
        <v>17.843239401258529</v>
      </c>
      <c r="S64" s="49">
        <f t="shared" si="10"/>
        <v>21.490000000000123</v>
      </c>
      <c r="T64" s="65" t="str">
        <f t="shared" si="15"/>
        <v/>
      </c>
    </row>
    <row r="65" spans="1:20" ht="15.95" customHeight="1" x14ac:dyDescent="0.2">
      <c r="A65" s="83">
        <v>59</v>
      </c>
      <c r="B65" s="85">
        <v>85.760999999999996</v>
      </c>
      <c r="C65" s="63" t="s">
        <v>51</v>
      </c>
      <c r="D65" s="80" cm="1">
        <f t="array" ref="D65">_xlfn.IFS(C65=Auxiliar!$A$15,B65,C65=Auxiliar!$A$16,B65/2,Dimensionamento!C65=Auxiliar!$A$17,0)</f>
        <v>42.880499999999998</v>
      </c>
      <c r="E65" s="86">
        <v>58</v>
      </c>
      <c r="F65" s="63" t="s">
        <v>51</v>
      </c>
      <c r="G65" s="49">
        <f t="shared" si="14"/>
        <v>3.2938042083087566</v>
      </c>
      <c r="H65" s="49">
        <f>D65*$L$5</f>
        <v>0.15168714121075996</v>
      </c>
      <c r="I65" s="51">
        <f t="shared" si="4"/>
        <v>3.1421170670979968</v>
      </c>
      <c r="J65" s="49">
        <f t="shared" si="5"/>
        <v>3.2179606377033769</v>
      </c>
      <c r="K65" s="50">
        <f ca="1">IFERROR(IF(OFFSET(Auxiliar!$A$1,MATCH(J65,IF($L$2="F.F.",Auxiliar!$C$1:$C$12,Auxiliar!$B$1:$B$12),1),0)&gt;$H$3,OFFSET(Auxiliar!$A$1,MATCH(J65,IF($L$2="F.F.",Auxiliar!$C$1:$C$12,Auxiliar!$B$1:$B$12),1),0),$H$3),$H$3)</f>
        <v>100</v>
      </c>
      <c r="L65" s="48">
        <f t="shared" ca="1" si="0"/>
        <v>0.40972347373251217</v>
      </c>
      <c r="M65" s="66">
        <f t="shared" ca="1" si="13"/>
        <v>2.0685685763306674E-3</v>
      </c>
      <c r="N65" s="52">
        <f t="shared" ca="1" si="11"/>
        <v>890.14323940125848</v>
      </c>
      <c r="O65" s="49">
        <f t="shared" ca="1" si="7"/>
        <v>0.17740250967469437</v>
      </c>
      <c r="P65" s="49">
        <f t="shared" ca="1" si="8"/>
        <v>889.96583689158376</v>
      </c>
      <c r="Q65" s="64">
        <v>871.44</v>
      </c>
      <c r="R65" s="49">
        <f t="shared" ca="1" si="9"/>
        <v>18.525836891583708</v>
      </c>
      <c r="S65" s="49">
        <f t="shared" si="10"/>
        <v>22.350000000000023</v>
      </c>
      <c r="T65" s="65" t="str">
        <f t="shared" si="15"/>
        <v/>
      </c>
    </row>
    <row r="66" spans="1:20" ht="15.95" customHeight="1" x14ac:dyDescent="0.2">
      <c r="A66" s="88">
        <v>60</v>
      </c>
      <c r="B66" s="85">
        <v>95.326999999999998</v>
      </c>
      <c r="C66" s="63" t="s">
        <v>51</v>
      </c>
      <c r="D66" s="80" cm="1">
        <f t="array" ref="D66">_xlfn.IFS(C66=Auxiliar!$A$15,B66,C66=Auxiliar!$A$16,B66/2,Dimensionamento!C66=Auxiliar!$A$17,0)</f>
        <v>47.663499999999999</v>
      </c>
      <c r="E66" s="86">
        <v>59</v>
      </c>
      <c r="F66" s="74" t="s">
        <v>51</v>
      </c>
      <c r="G66" s="49">
        <f t="shared" si="14"/>
        <v>3.0427574882141726</v>
      </c>
      <c r="H66" s="49">
        <f>(D66*$L$5)+Auxiliar!C25</f>
        <v>2.2686067106283523</v>
      </c>
      <c r="I66" s="51">
        <f t="shared" si="4"/>
        <v>0.77415077758582018</v>
      </c>
      <c r="J66" s="49">
        <f t="shared" si="5"/>
        <v>1.9084541328999964</v>
      </c>
      <c r="K66" s="50">
        <f ca="1">IFERROR(IF(OFFSET(Auxiliar!$A$1,MATCH(J66,IF($L$2="F.F.",Auxiliar!$C$1:$C$12,Auxiliar!$B$1:$B$12),1),0)&gt;$H$3,OFFSET(Auxiliar!$A$1,MATCH(J66,IF($L$2="F.F.",Auxiliar!$C$1:$C$12,Auxiliar!$B$1:$B$12),1),0),$H$3),$H$3)</f>
        <v>75</v>
      </c>
      <c r="L66" s="48">
        <f t="shared" ca="1" si="0"/>
        <v>0.43198564823493885</v>
      </c>
      <c r="M66" s="66">
        <f t="shared" ca="1" si="13"/>
        <v>3.194172886801181E-3</v>
      </c>
      <c r="N66" s="52">
        <f t="shared" ca="1" si="11"/>
        <v>889.96583689158376</v>
      </c>
      <c r="O66" s="49">
        <f t="shared" ca="1" si="7"/>
        <v>0.30449091878009615</v>
      </c>
      <c r="P66" s="49">
        <f t="shared" ca="1" si="8"/>
        <v>889.6613459728037</v>
      </c>
      <c r="Q66" s="64">
        <v>869.47</v>
      </c>
      <c r="R66" s="49">
        <f t="shared" ca="1" si="9"/>
        <v>20.191345972803674</v>
      </c>
      <c r="S66" s="49">
        <f t="shared" si="10"/>
        <v>24.32000000000005</v>
      </c>
      <c r="T66" s="65" t="str">
        <f t="shared" si="15"/>
        <v/>
      </c>
    </row>
    <row r="67" spans="1:20" ht="15.95" customHeight="1" x14ac:dyDescent="0.2">
      <c r="A67" s="81">
        <v>61</v>
      </c>
      <c r="B67" s="85">
        <v>56.176000000000002</v>
      </c>
      <c r="C67" s="63" t="s">
        <v>51</v>
      </c>
      <c r="D67" s="80" cm="1">
        <f t="array" ref="D67">_xlfn.IFS(C67=Auxiliar!$A$15,B67,C67=Auxiliar!$A$16,B67/2,Dimensionamento!C67=Auxiliar!$A$17,0)</f>
        <v>28.088000000000001</v>
      </c>
      <c r="E67" s="86">
        <v>59</v>
      </c>
      <c r="F67" s="74" t="s">
        <v>52</v>
      </c>
      <c r="G67" s="49">
        <f t="shared" si="14"/>
        <v>9.9359578883824254E-2</v>
      </c>
      <c r="H67" s="49">
        <f t="shared" ref="H67:H98" si="17">D67*$L$5</f>
        <v>9.9359578883824254E-2</v>
      </c>
      <c r="I67" s="51">
        <f t="shared" si="4"/>
        <v>0</v>
      </c>
      <c r="J67" s="49">
        <f t="shared" si="5"/>
        <v>0.6</v>
      </c>
      <c r="K67" s="50">
        <f ca="1">IFERROR(IF(OFFSET(Auxiliar!$A$1,MATCH(J67,IF($L$2="F.F.",Auxiliar!$C$1:$C$12,Auxiliar!$B$1:$B$12),1),0)&gt;$H$3,OFFSET(Auxiliar!$A$1,MATCH(J67,IF($L$2="F.F.",Auxiliar!$C$1:$C$12,Auxiliar!$B$1:$B$12),1),0),$H$3),$H$3)</f>
        <v>50</v>
      </c>
      <c r="L67" s="48">
        <f t="shared" ca="1" si="0"/>
        <v>0.30557749073643903</v>
      </c>
      <c r="M67" s="66">
        <f t="shared" ca="1" si="13"/>
        <v>2.7054621926271396E-3</v>
      </c>
      <c r="N67" s="52">
        <f t="shared" ca="1" si="11"/>
        <v>889.96583689158376</v>
      </c>
      <c r="O67" s="49">
        <f t="shared" ca="1" si="7"/>
        <v>0.15198204413302219</v>
      </c>
      <c r="P67" s="49">
        <f t="shared" ca="1" si="8"/>
        <v>889.81385484745078</v>
      </c>
      <c r="Q67" s="64">
        <v>871.59</v>
      </c>
      <c r="R67" s="49">
        <f t="shared" ca="1" si="9"/>
        <v>18.223854847450752</v>
      </c>
      <c r="S67" s="49">
        <f t="shared" si="10"/>
        <v>22.200000000000045</v>
      </c>
      <c r="T67" s="65" t="str">
        <f t="shared" si="15"/>
        <v/>
      </c>
    </row>
    <row r="68" spans="1:20" ht="15.95" customHeight="1" x14ac:dyDescent="0.2">
      <c r="A68" s="83">
        <v>62</v>
      </c>
      <c r="B68" s="85">
        <v>67.83</v>
      </c>
      <c r="C68" s="63" t="s">
        <v>52</v>
      </c>
      <c r="D68" s="80" cm="1">
        <f t="array" ref="D68">_xlfn.IFS(C68=Auxiliar!$A$15,B68,C68=Auxiliar!$A$16,B68/2,Dimensionamento!C68=Auxiliar!$A$17,0)</f>
        <v>67.83</v>
      </c>
      <c r="E68" s="86">
        <v>119</v>
      </c>
      <c r="F68" s="63" t="s">
        <v>51</v>
      </c>
      <c r="G68" s="49">
        <f t="shared" si="14"/>
        <v>0.69747679323994682</v>
      </c>
      <c r="H68" s="49">
        <f t="shared" si="17"/>
        <v>0.23994446865885072</v>
      </c>
      <c r="I68" s="51">
        <f t="shared" si="4"/>
        <v>0.45753232458109616</v>
      </c>
      <c r="J68" s="49">
        <f t="shared" si="5"/>
        <v>0.6</v>
      </c>
      <c r="K68" s="50">
        <f ca="1">IFERROR(IF(OFFSET(Auxiliar!$A$1,MATCH(J68,IF($L$2="F.F.",Auxiliar!$C$1:$C$12,Auxiliar!$B$1:$B$12),1),0)&gt;$H$3,OFFSET(Auxiliar!$A$1,MATCH(J68,IF($L$2="F.F.",Auxiliar!$C$1:$C$12,Auxiliar!$B$1:$B$12),1),0),$H$3),$H$3)</f>
        <v>50</v>
      </c>
      <c r="L68" s="48">
        <f t="shared" ca="1" si="0"/>
        <v>0.30557749073643903</v>
      </c>
      <c r="M68" s="66">
        <f t="shared" ca="1" si="13"/>
        <v>2.7054621926271396E-3</v>
      </c>
      <c r="N68" s="52">
        <f t="shared" ca="1" si="11"/>
        <v>889.78782194045141</v>
      </c>
      <c r="O68" s="49">
        <f t="shared" ca="1" si="7"/>
        <v>0.18351150052589887</v>
      </c>
      <c r="P68" s="49">
        <f t="shared" ca="1" si="8"/>
        <v>889.60431043992548</v>
      </c>
      <c r="Q68" s="64">
        <v>872.93</v>
      </c>
      <c r="R68" s="49">
        <f t="shared" ca="1" si="9"/>
        <v>16.674310439925534</v>
      </c>
      <c r="S68" s="49">
        <f t="shared" si="10"/>
        <v>20.860000000000127</v>
      </c>
      <c r="T68" s="65" t="str">
        <f t="shared" si="15"/>
        <v/>
      </c>
    </row>
    <row r="69" spans="1:20" ht="15.95" customHeight="1" x14ac:dyDescent="0.2">
      <c r="A69" s="81">
        <v>63</v>
      </c>
      <c r="B69" s="85">
        <v>68.34</v>
      </c>
      <c r="C69" s="63" t="s">
        <v>52</v>
      </c>
      <c r="D69" s="80" cm="1">
        <f t="array" ref="D69">_xlfn.IFS(C69=Auxiliar!$A$15,B69,C69=Auxiliar!$A$16,B69/2,Dimensionamento!C69=Auxiliar!$A$17,0)</f>
        <v>68.34</v>
      </c>
      <c r="E69" s="86">
        <v>62</v>
      </c>
      <c r="F69" s="74" t="s">
        <v>51</v>
      </c>
      <c r="G69" s="49">
        <f t="shared" si="14"/>
        <v>0.37203243061847752</v>
      </c>
      <c r="H69" s="49">
        <f t="shared" si="17"/>
        <v>0.24174856240816539</v>
      </c>
      <c r="I69" s="51">
        <f t="shared" si="4"/>
        <v>0.13028386821031213</v>
      </c>
      <c r="J69" s="49">
        <f t="shared" si="5"/>
        <v>0.6</v>
      </c>
      <c r="K69" s="50">
        <f ca="1">IFERROR(IF(OFFSET(Auxiliar!$A$1,MATCH(J69,IF($L$2="F.F.",Auxiliar!$C$1:$C$12,Auxiliar!$B$1:$B$12),1),0)&gt;$H$3,OFFSET(Auxiliar!$A$1,MATCH(J69,IF($L$2="F.F.",Auxiliar!$C$1:$C$12,Auxiliar!$B$1:$B$12),1),0),$H$3),$H$3)</f>
        <v>50</v>
      </c>
      <c r="L69" s="48">
        <f t="shared" ca="1" si="0"/>
        <v>0.30557749073643903</v>
      </c>
      <c r="M69" s="66">
        <f t="shared" ca="1" si="13"/>
        <v>2.7054621926271396E-3</v>
      </c>
      <c r="N69" s="52">
        <f t="shared" ca="1" si="11"/>
        <v>889.60431043992548</v>
      </c>
      <c r="O69" s="49">
        <f t="shared" ca="1" si="7"/>
        <v>0.18489128624413873</v>
      </c>
      <c r="P69" s="49">
        <f t="shared" ca="1" si="8"/>
        <v>889.41941915368136</v>
      </c>
      <c r="Q69" s="64">
        <v>871.59</v>
      </c>
      <c r="R69" s="49">
        <f t="shared" ca="1" si="9"/>
        <v>17.829419153681329</v>
      </c>
      <c r="S69" s="49">
        <f t="shared" si="10"/>
        <v>22.200000000000045</v>
      </c>
      <c r="T69" s="65" t="str">
        <f t="shared" si="15"/>
        <v/>
      </c>
    </row>
    <row r="70" spans="1:20" ht="15.95" customHeight="1" x14ac:dyDescent="0.2">
      <c r="A70" s="89">
        <v>64</v>
      </c>
      <c r="B70" s="85">
        <v>48.34</v>
      </c>
      <c r="C70" s="63" t="s">
        <v>51</v>
      </c>
      <c r="D70" s="80" cm="1">
        <f t="array" ref="D70">_xlfn.IFS(C70=Auxiliar!$A$15,B70,C70=Auxiliar!$A$16,B70/2,Dimensionamento!C70=Auxiliar!$A$17,0)</f>
        <v>24.17</v>
      </c>
      <c r="E70" s="86">
        <v>62</v>
      </c>
      <c r="F70" s="95" t="s">
        <v>52</v>
      </c>
      <c r="G70" s="49">
        <f t="shared" si="14"/>
        <v>8.5499893962618645E-2</v>
      </c>
      <c r="H70" s="49">
        <f t="shared" si="17"/>
        <v>8.5499893962618645E-2</v>
      </c>
      <c r="I70" s="51">
        <f t="shared" si="4"/>
        <v>0</v>
      </c>
      <c r="J70" s="49">
        <f t="shared" si="5"/>
        <v>0.6</v>
      </c>
      <c r="K70" s="50">
        <f ca="1">IFERROR(IF(OFFSET(Auxiliar!$A$1,MATCH(J70,IF($L$2="F.F.",Auxiliar!$C$1:$C$12,Auxiliar!$B$1:$B$12),1),0)&gt;$H$3,OFFSET(Auxiliar!$A$1,MATCH(J70,IF($L$2="F.F.",Auxiliar!$C$1:$C$12,Auxiliar!$B$1:$B$12),1),0),$H$3),$H$3)</f>
        <v>50</v>
      </c>
      <c r="L70" s="48">
        <f t="shared" ca="1" si="0"/>
        <v>0.30557749073643903</v>
      </c>
      <c r="M70" s="66">
        <f t="shared" ca="1" si="13"/>
        <v>2.7054621926271396E-3</v>
      </c>
      <c r="N70" s="52">
        <f t="shared" ca="1" si="11"/>
        <v>889.60431043992548</v>
      </c>
      <c r="O70" s="49">
        <f t="shared" ca="1" si="7"/>
        <v>0.13078204239159594</v>
      </c>
      <c r="P70" s="49">
        <f t="shared" ca="1" si="8"/>
        <v>889.47352839753387</v>
      </c>
      <c r="Q70" s="64">
        <v>872.86</v>
      </c>
      <c r="R70" s="49">
        <f t="shared" ca="1" si="9"/>
        <v>16.613528397533855</v>
      </c>
      <c r="S70" s="49">
        <f t="shared" si="10"/>
        <v>20.930000000000064</v>
      </c>
      <c r="T70" s="65" t="str">
        <f t="shared" si="15"/>
        <v/>
      </c>
    </row>
    <row r="71" spans="1:20" ht="15.95" customHeight="1" x14ac:dyDescent="0.2">
      <c r="A71" s="81">
        <v>65</v>
      </c>
      <c r="B71" s="85">
        <v>73.66</v>
      </c>
      <c r="C71" s="63" t="s">
        <v>51</v>
      </c>
      <c r="D71" s="80" cm="1">
        <f t="array" ref="D71">_xlfn.IFS(C71=Auxiliar!$A$15,B71,C71=Auxiliar!$A$16,B71/2,Dimensionamento!C71=Auxiliar!$A$17,0)</f>
        <v>36.83</v>
      </c>
      <c r="E71" s="87">
        <v>63</v>
      </c>
      <c r="F71" s="74" t="s">
        <v>52</v>
      </c>
      <c r="G71" s="49">
        <f t="shared" ref="G71:G102" si="18">H71+I71</f>
        <v>0.13028386821031213</v>
      </c>
      <c r="H71" s="49">
        <f t="shared" si="17"/>
        <v>0.13028386821031213</v>
      </c>
      <c r="I71" s="51">
        <f t="shared" si="4"/>
        <v>0</v>
      </c>
      <c r="J71" s="49">
        <f t="shared" si="5"/>
        <v>0.6</v>
      </c>
      <c r="K71" s="50">
        <f ca="1">IFERROR(IF(OFFSET(Auxiliar!$A$1,MATCH(J71,IF($L$2="F.F.",Auxiliar!$C$1:$C$12,Auxiliar!$B$1:$B$12),1),0)&gt;$H$3,OFFSET(Auxiliar!$A$1,MATCH(J71,IF($L$2="F.F.",Auxiliar!$C$1:$C$12,Auxiliar!$B$1:$B$12),1),0),$H$3),$H$3)</f>
        <v>50</v>
      </c>
      <c r="L71" s="48">
        <f t="shared" ref="L71:L129" ca="1" si="19">(4000*J71)/(PI()*(K71^2))</f>
        <v>0.30557749073643903</v>
      </c>
      <c r="M71" s="66">
        <f t="shared" ca="1" si="13"/>
        <v>2.7054621926271396E-3</v>
      </c>
      <c r="N71" s="52">
        <f t="shared" ca="1" si="11"/>
        <v>889.41941915368136</v>
      </c>
      <c r="O71" s="49">
        <f t="shared" ca="1" si="7"/>
        <v>0.1992843451089151</v>
      </c>
      <c r="P71" s="49">
        <f t="shared" ca="1" si="8"/>
        <v>889.22013480857242</v>
      </c>
      <c r="Q71" s="64">
        <v>869.47</v>
      </c>
      <c r="R71" s="49">
        <f t="shared" ca="1" si="9"/>
        <v>19.750134808572398</v>
      </c>
      <c r="S71" s="49">
        <f t="shared" si="10"/>
        <v>24.32000000000005</v>
      </c>
      <c r="T71" s="65" t="str">
        <f t="shared" ref="T71:T102" si="20">IF(S71=LARGE($S$7:$S$126,1),"Pressão Máx.",IF(S71=SMALL($S$7:$S$126,1),"Pressão Mín",""))</f>
        <v/>
      </c>
    </row>
    <row r="72" spans="1:20" ht="15.95" customHeight="1" x14ac:dyDescent="0.2">
      <c r="A72" s="81">
        <v>66</v>
      </c>
      <c r="B72" s="85">
        <v>52.5</v>
      </c>
      <c r="C72" s="63" t="s">
        <v>51</v>
      </c>
      <c r="D72" s="80" cm="1">
        <f t="array" ref="D72">_xlfn.IFS(C72=Auxiliar!$A$15,B72,C72=Auxiliar!$A$16,B72/2,Dimensionamento!C72=Auxiliar!$A$17,0)</f>
        <v>26.25</v>
      </c>
      <c r="E72" s="87">
        <v>60</v>
      </c>
      <c r="F72" s="63" t="s">
        <v>51</v>
      </c>
      <c r="G72" s="49">
        <f t="shared" si="18"/>
        <v>0.60315098966058289</v>
      </c>
      <c r="H72" s="49">
        <f t="shared" si="17"/>
        <v>9.2857766508843156E-2</v>
      </c>
      <c r="I72" s="51">
        <f t="shared" ref="I72:I129" si="21">IF(F72="Sim",0,SUMIFS($G$7:$G$129,$E$7:$E$129,A72))</f>
        <v>0.51029322315173975</v>
      </c>
      <c r="J72" s="49">
        <f t="shared" ref="J72:J129" si="22">IF((G72+I72)/2&gt;0.6,(G72+I72)/2,0.6)</f>
        <v>0.6</v>
      </c>
      <c r="K72" s="50">
        <f ca="1">IFERROR(IF(OFFSET(Auxiliar!$A$1,MATCH(J72,IF($L$2="F.F.",Auxiliar!$C$1:$C$12,Auxiliar!$B$1:$B$12),1),0)&gt;$H$3,OFFSET(Auxiliar!$A$1,MATCH(J72,IF($L$2="F.F.",Auxiliar!$C$1:$C$12,Auxiliar!$B$1:$B$12),1),0),$H$3),$H$3)</f>
        <v>50</v>
      </c>
      <c r="L72" s="48">
        <f t="shared" ca="1" si="19"/>
        <v>0.30557749073643903</v>
      </c>
      <c r="M72" s="66">
        <f t="shared" ca="1" si="13"/>
        <v>2.7054621926271396E-3</v>
      </c>
      <c r="N72" s="52">
        <f t="shared" ca="1" si="11"/>
        <v>889.6613459728037</v>
      </c>
      <c r="O72" s="49">
        <f t="shared" ref="O72:O129" ca="1" si="23">M72*B72</f>
        <v>0.14203676511292482</v>
      </c>
      <c r="P72" s="49">
        <f t="shared" ref="P72:P129" ca="1" si="24">N72-O72</f>
        <v>889.51930920769075</v>
      </c>
      <c r="Q72" s="64">
        <v>865.96</v>
      </c>
      <c r="R72" s="49">
        <f t="shared" ref="R72:R129" ca="1" si="25">P72-Q72</f>
        <v>23.559309207690717</v>
      </c>
      <c r="S72" s="49">
        <f t="shared" ref="S72:S129" si="26">$S$4-Q72</f>
        <v>27.830000000000041</v>
      </c>
      <c r="T72" s="65" t="str">
        <f t="shared" si="20"/>
        <v/>
      </c>
    </row>
    <row r="73" spans="1:20" ht="15.95" customHeight="1" x14ac:dyDescent="0.2">
      <c r="A73" s="81">
        <v>67</v>
      </c>
      <c r="B73" s="85">
        <v>48.34</v>
      </c>
      <c r="C73" s="63" t="s">
        <v>52</v>
      </c>
      <c r="D73" s="80" cm="1">
        <f t="array" ref="D73">_xlfn.IFS(C73=Auxiliar!$A$15,B73,C73=Auxiliar!$A$16,B73/2,Dimensionamento!C73=Auxiliar!$A$17,0)</f>
        <v>48.34</v>
      </c>
      <c r="E73" s="87">
        <v>60</v>
      </c>
      <c r="F73" s="63" t="s">
        <v>52</v>
      </c>
      <c r="G73" s="49">
        <f t="shared" si="18"/>
        <v>0.17099978792523729</v>
      </c>
      <c r="H73" s="49">
        <f t="shared" si="17"/>
        <v>0.17099978792523729</v>
      </c>
      <c r="I73" s="51">
        <f t="shared" si="21"/>
        <v>0</v>
      </c>
      <c r="J73" s="49">
        <f t="shared" si="22"/>
        <v>0.6</v>
      </c>
      <c r="K73" s="50">
        <f ca="1">IFERROR(IF(OFFSET(Auxiliar!$A$1,MATCH(J73,IF($L$2="F.F.",Auxiliar!$C$1:$C$12,Auxiliar!$B$1:$B$12),1),0)&gt;$H$3,OFFSET(Auxiliar!$A$1,MATCH(J73,IF($L$2="F.F.",Auxiliar!$C$1:$C$12,Auxiliar!$B$1:$B$12),1),0),$H$3),$H$3)</f>
        <v>50</v>
      </c>
      <c r="L73" s="48">
        <f t="shared" ca="1" si="19"/>
        <v>0.30557749073643903</v>
      </c>
      <c r="M73" s="66">
        <f t="shared" ca="1" si="13"/>
        <v>2.7054621926271396E-3</v>
      </c>
      <c r="N73" s="52">
        <f t="shared" ref="N73:N129" ca="1" si="27">VLOOKUP(E73,$A$7:$T$129,16,)</f>
        <v>889.6613459728037</v>
      </c>
      <c r="O73" s="49">
        <f t="shared" ca="1" si="23"/>
        <v>0.13078204239159594</v>
      </c>
      <c r="P73" s="49">
        <f t="shared" ca="1" si="24"/>
        <v>889.53056393041209</v>
      </c>
      <c r="Q73" s="64">
        <v>869.7</v>
      </c>
      <c r="R73" s="49">
        <f t="shared" ca="1" si="25"/>
        <v>19.83056393041204</v>
      </c>
      <c r="S73" s="49">
        <f t="shared" si="26"/>
        <v>24.090000000000032</v>
      </c>
      <c r="T73" s="65" t="str">
        <f t="shared" si="20"/>
        <v/>
      </c>
    </row>
    <row r="74" spans="1:20" ht="15.95" customHeight="1" x14ac:dyDescent="0.2">
      <c r="A74" s="83">
        <v>68</v>
      </c>
      <c r="B74" s="85">
        <v>96.17</v>
      </c>
      <c r="C74" s="63" t="s">
        <v>52</v>
      </c>
      <c r="D74" s="80" cm="1">
        <f t="array" ref="D74">_xlfn.IFS(C74=Auxiliar!$A$15,B74,C74=Auxiliar!$A$16,B74/2,Dimensionamento!C74=Auxiliar!$A$17,0)</f>
        <v>96.17</v>
      </c>
      <c r="E74" s="86">
        <v>66</v>
      </c>
      <c r="F74" s="63" t="s">
        <v>51</v>
      </c>
      <c r="G74" s="49">
        <f t="shared" si="18"/>
        <v>0.34019548210115985</v>
      </c>
      <c r="H74" s="49">
        <f t="shared" si="17"/>
        <v>0.34019548210115985</v>
      </c>
      <c r="I74" s="51">
        <f t="shared" si="21"/>
        <v>0</v>
      </c>
      <c r="J74" s="49">
        <f t="shared" si="22"/>
        <v>0.6</v>
      </c>
      <c r="K74" s="50">
        <f ca="1">IFERROR(IF(OFFSET(Auxiliar!$A$1,MATCH(J74,IF($L$2="F.F.",Auxiliar!$C$1:$C$12,Auxiliar!$B$1:$B$12),1),0)&gt;$H$3,OFFSET(Auxiliar!$A$1,MATCH(J74,IF($L$2="F.F.",Auxiliar!$C$1:$C$12,Auxiliar!$B$1:$B$12),1),0),$H$3),$H$3)</f>
        <v>50</v>
      </c>
      <c r="L74" s="48">
        <f t="shared" ca="1" si="19"/>
        <v>0.30557749073643903</v>
      </c>
      <c r="M74" s="66">
        <f t="shared" ca="1" si="13"/>
        <v>2.7054621926271396E-3</v>
      </c>
      <c r="N74" s="52">
        <f t="shared" ca="1" si="27"/>
        <v>889.51930920769075</v>
      </c>
      <c r="O74" s="49">
        <f t="shared" ca="1" si="23"/>
        <v>0.260184299064952</v>
      </c>
      <c r="P74" s="49">
        <f t="shared" ca="1" si="24"/>
        <v>889.25912490862584</v>
      </c>
      <c r="Q74" s="64">
        <v>866.04</v>
      </c>
      <c r="R74" s="49">
        <f t="shared" ca="1" si="25"/>
        <v>23.219124908625872</v>
      </c>
      <c r="S74" s="49">
        <f t="shared" si="26"/>
        <v>27.750000000000114</v>
      </c>
      <c r="T74" s="65" t="str">
        <f t="shared" si="20"/>
        <v/>
      </c>
    </row>
    <row r="75" spans="1:20" ht="15.95" customHeight="1" x14ac:dyDescent="0.2">
      <c r="A75" s="83">
        <v>69</v>
      </c>
      <c r="B75" s="85">
        <v>48.34</v>
      </c>
      <c r="C75" s="63" t="s">
        <v>49</v>
      </c>
      <c r="D75" s="80" cm="1">
        <f t="array" ref="D75">_xlfn.IFS(C75=Auxiliar!$A$15,B75,C75=Auxiliar!$A$16,B75/2,Dimensionamento!C75=Auxiliar!$A$17,0)</f>
        <v>0</v>
      </c>
      <c r="E75" s="86">
        <v>66</v>
      </c>
      <c r="F75" s="63" t="s">
        <v>51</v>
      </c>
      <c r="G75" s="49">
        <f t="shared" si="18"/>
        <v>0.17009774105057993</v>
      </c>
      <c r="H75" s="49">
        <f t="shared" si="17"/>
        <v>0</v>
      </c>
      <c r="I75" s="51">
        <f t="shared" si="21"/>
        <v>0.17009774105057993</v>
      </c>
      <c r="J75" s="49">
        <f t="shared" si="22"/>
        <v>0.6</v>
      </c>
      <c r="K75" s="50">
        <f ca="1">IFERROR(IF(OFFSET(Auxiliar!$A$1,MATCH(J75,IF($L$2="F.F.",Auxiliar!$C$1:$C$12,Auxiliar!$B$1:$B$12),1),0)&gt;$H$3,OFFSET(Auxiliar!$A$1,MATCH(J75,IF($L$2="F.F.",Auxiliar!$C$1:$C$12,Auxiliar!$B$1:$B$12),1),0),$H$3),$H$3)</f>
        <v>50</v>
      </c>
      <c r="L75" s="48">
        <f t="shared" ca="1" si="19"/>
        <v>0.30557749073643903</v>
      </c>
      <c r="M75" s="66">
        <f t="shared" ca="1" si="13"/>
        <v>2.7054621926271396E-3</v>
      </c>
      <c r="N75" s="52">
        <f t="shared" ca="1" si="27"/>
        <v>889.51930920769075</v>
      </c>
      <c r="O75" s="49">
        <f t="shared" ca="1" si="23"/>
        <v>0.13078204239159594</v>
      </c>
      <c r="P75" s="49">
        <f t="shared" ca="1" si="24"/>
        <v>889.38852716529914</v>
      </c>
      <c r="Q75" s="64">
        <v>864.44</v>
      </c>
      <c r="R75" s="49">
        <f t="shared" ca="1" si="25"/>
        <v>24.948527165299083</v>
      </c>
      <c r="S75" s="49">
        <f t="shared" si="26"/>
        <v>29.350000000000023</v>
      </c>
      <c r="T75" s="65" t="str">
        <f t="shared" si="20"/>
        <v/>
      </c>
    </row>
    <row r="76" spans="1:20" ht="15.95" customHeight="1" x14ac:dyDescent="0.2">
      <c r="A76" s="83">
        <v>70</v>
      </c>
      <c r="B76" s="85">
        <v>96.17</v>
      </c>
      <c r="C76" s="63" t="s">
        <v>51</v>
      </c>
      <c r="D76" s="80" cm="1">
        <f t="array" ref="D76">_xlfn.IFS(C76=Auxiliar!$A$15,B76,C76=Auxiliar!$A$16,B76/2,Dimensionamento!C76=Auxiliar!$A$17,0)</f>
        <v>48.085000000000001</v>
      </c>
      <c r="E76" s="86">
        <v>69</v>
      </c>
      <c r="F76" s="63" t="s">
        <v>52</v>
      </c>
      <c r="G76" s="49">
        <f t="shared" si="18"/>
        <v>0.17009774105057993</v>
      </c>
      <c r="H76" s="49">
        <f t="shared" si="17"/>
        <v>0.17009774105057993</v>
      </c>
      <c r="I76" s="51">
        <f t="shared" si="21"/>
        <v>0</v>
      </c>
      <c r="J76" s="49">
        <f t="shared" si="22"/>
        <v>0.6</v>
      </c>
      <c r="K76" s="50">
        <f ca="1">IFERROR(IF(OFFSET(Auxiliar!$A$1,MATCH(J76,IF($L$2="F.F.",Auxiliar!$C$1:$C$12,Auxiliar!$B$1:$B$12),1),0)&gt;$H$3,OFFSET(Auxiliar!$A$1,MATCH(J76,IF($L$2="F.F.",Auxiliar!$C$1:$C$12,Auxiliar!$B$1:$B$12),1),0),$H$3),$H$3)</f>
        <v>50</v>
      </c>
      <c r="L76" s="48">
        <f t="shared" ca="1" si="19"/>
        <v>0.30557749073643903</v>
      </c>
      <c r="M76" s="66">
        <f t="shared" ca="1" si="13"/>
        <v>2.7054621926271396E-3</v>
      </c>
      <c r="N76" s="52">
        <f t="shared" ca="1" si="27"/>
        <v>889.38852716529914</v>
      </c>
      <c r="O76" s="49">
        <f t="shared" ca="1" si="23"/>
        <v>0.260184299064952</v>
      </c>
      <c r="P76" s="49">
        <f t="shared" ca="1" si="24"/>
        <v>889.12834286623422</v>
      </c>
      <c r="Q76" s="64">
        <v>864.54</v>
      </c>
      <c r="R76" s="49">
        <f t="shared" ca="1" si="25"/>
        <v>24.588342866234257</v>
      </c>
      <c r="S76" s="49">
        <f t="shared" si="26"/>
        <v>29.250000000000114</v>
      </c>
      <c r="T76" s="65" t="str">
        <f t="shared" si="20"/>
        <v/>
      </c>
    </row>
    <row r="77" spans="1:20" ht="15.95" customHeight="1" x14ac:dyDescent="0.2">
      <c r="A77" s="83">
        <v>71</v>
      </c>
      <c r="B77" s="85">
        <v>48.34</v>
      </c>
      <c r="C77" s="63" t="s">
        <v>49</v>
      </c>
      <c r="D77" s="80" cm="1">
        <f t="array" ref="D77">_xlfn.IFS(C77=Auxiliar!$A$15,B77,C77=Auxiliar!$A$16,B77/2,Dimensionamento!C77=Auxiliar!$A$17,0)</f>
        <v>0</v>
      </c>
      <c r="E77" s="86">
        <v>119</v>
      </c>
      <c r="F77" s="63" t="s">
        <v>52</v>
      </c>
      <c r="G77" s="49">
        <f t="shared" si="18"/>
        <v>0</v>
      </c>
      <c r="H77" s="49">
        <f t="shared" si="17"/>
        <v>0</v>
      </c>
      <c r="I77" s="51">
        <f t="shared" si="21"/>
        <v>0</v>
      </c>
      <c r="J77" s="49">
        <f t="shared" si="22"/>
        <v>0.6</v>
      </c>
      <c r="K77" s="50">
        <f ca="1">IFERROR(IF(OFFSET(Auxiliar!$A$1,MATCH(J77,IF($L$2="F.F.",Auxiliar!$C$1:$C$12,Auxiliar!$B$1:$B$12),1),0)&gt;$H$3,OFFSET(Auxiliar!$A$1,MATCH(J77,IF($L$2="F.F.",Auxiliar!$C$1:$C$12,Auxiliar!$B$1:$B$12),1),0),$H$3),$H$3)</f>
        <v>50</v>
      </c>
      <c r="L77" s="48">
        <f t="shared" ca="1" si="19"/>
        <v>0.30557749073643903</v>
      </c>
      <c r="M77" s="66">
        <f t="shared" ca="1" si="13"/>
        <v>2.7054621926271396E-3</v>
      </c>
      <c r="N77" s="52">
        <f t="shared" ca="1" si="27"/>
        <v>889.78782194045141</v>
      </c>
      <c r="O77" s="49">
        <f t="shared" ca="1" si="23"/>
        <v>0.13078204239159594</v>
      </c>
      <c r="P77" s="49">
        <f t="shared" ca="1" si="24"/>
        <v>889.65703989805979</v>
      </c>
      <c r="Q77" s="64">
        <v>874.26</v>
      </c>
      <c r="R77" s="49">
        <f t="shared" ca="1" si="25"/>
        <v>15.397039898059802</v>
      </c>
      <c r="S77" s="49">
        <f t="shared" si="26"/>
        <v>19.530000000000086</v>
      </c>
      <c r="T77" s="65" t="str">
        <f t="shared" si="20"/>
        <v/>
      </c>
    </row>
    <row r="78" spans="1:20" ht="15.95" customHeight="1" x14ac:dyDescent="0.2">
      <c r="A78" s="90">
        <v>72</v>
      </c>
      <c r="B78" s="85">
        <v>67.83</v>
      </c>
      <c r="C78" s="63" t="s">
        <v>52</v>
      </c>
      <c r="D78" s="80" cm="1">
        <f t="array" ref="D78">_xlfn.IFS(C78=Auxiliar!$A$15,B78,C78=Auxiliar!$A$16,B78/2,Dimensionamento!C78=Auxiliar!$A$17,0)</f>
        <v>67.83</v>
      </c>
      <c r="E78" s="86">
        <v>117</v>
      </c>
      <c r="F78" s="93" t="s">
        <v>51</v>
      </c>
      <c r="G78" s="49">
        <f t="shared" si="18"/>
        <v>1.0889120752603674</v>
      </c>
      <c r="H78" s="49">
        <f t="shared" si="17"/>
        <v>0.23994446865885072</v>
      </c>
      <c r="I78" s="51">
        <f t="shared" si="21"/>
        <v>0.84896760660151671</v>
      </c>
      <c r="J78" s="49">
        <f t="shared" si="22"/>
        <v>0.96893984093094199</v>
      </c>
      <c r="K78" s="50">
        <f ca="1">IFERROR(IF(OFFSET(Auxiliar!$A$1,MATCH(J78,IF($L$2="F.F.",Auxiliar!$C$1:$C$12,Auxiliar!$B$1:$B$12),1),0)&gt;$H$3,OFFSET(Auxiliar!$A$1,MATCH(J78,IF($L$2="F.F.",Auxiliar!$C$1:$C$12,Auxiliar!$B$1:$B$12),1),0),$H$3),$H$3)</f>
        <v>50</v>
      </c>
      <c r="L78" s="48">
        <f t="shared" ca="1" si="19"/>
        <v>0.4934770087770694</v>
      </c>
      <c r="M78" s="66">
        <f t="shared" ca="1" si="13"/>
        <v>6.5661494186847824E-3</v>
      </c>
      <c r="N78" s="52">
        <f t="shared" ca="1" si="27"/>
        <v>889.26146789365669</v>
      </c>
      <c r="O78" s="49">
        <f t="shared" ca="1" si="23"/>
        <v>0.44538191506938879</v>
      </c>
      <c r="P78" s="49">
        <f t="shared" ca="1" si="24"/>
        <v>888.81608597858735</v>
      </c>
      <c r="Q78" s="64">
        <v>872.86</v>
      </c>
      <c r="R78" s="49">
        <f t="shared" ca="1" si="25"/>
        <v>15.956085978587339</v>
      </c>
      <c r="S78" s="49">
        <f t="shared" si="26"/>
        <v>20.930000000000064</v>
      </c>
      <c r="T78" s="65" t="str">
        <f t="shared" si="20"/>
        <v/>
      </c>
    </row>
    <row r="79" spans="1:20" ht="15.95" customHeight="1" x14ac:dyDescent="0.2">
      <c r="A79" s="90">
        <v>73</v>
      </c>
      <c r="B79" s="85">
        <v>71</v>
      </c>
      <c r="C79" s="63" t="s">
        <v>52</v>
      </c>
      <c r="D79" s="80" cm="1">
        <f t="array" ref="D79">_xlfn.IFS(C79=Auxiliar!$A$15,B79,C79=Auxiliar!$A$16,B79/2,Dimensionamento!C79=Auxiliar!$A$17,0)</f>
        <v>71</v>
      </c>
      <c r="E79" s="94">
        <v>72</v>
      </c>
      <c r="F79" s="63" t="s">
        <v>51</v>
      </c>
      <c r="G79" s="49">
        <f t="shared" si="18"/>
        <v>0.76436975951355546</v>
      </c>
      <c r="H79" s="49">
        <f t="shared" si="17"/>
        <v>0.25115814941439485</v>
      </c>
      <c r="I79" s="51">
        <f t="shared" si="21"/>
        <v>0.51321161009916061</v>
      </c>
      <c r="J79" s="49">
        <f t="shared" si="22"/>
        <v>0.63879068480635803</v>
      </c>
      <c r="K79" s="50">
        <f ca="1">IFERROR(IF(OFFSET(Auxiliar!$A$1,MATCH(J79,IF($L$2="F.F.",Auxiliar!$C$1:$C$12,Auxiliar!$B$1:$B$12),1),0)&gt;$H$3,OFFSET(Auxiliar!$A$1,MATCH(J79,IF($L$2="F.F.",Auxiliar!$C$1:$C$12,Auxiliar!$B$1:$B$12),1),0),$H$3),$H$3)</f>
        <v>50</v>
      </c>
      <c r="L79" s="48">
        <f t="shared" ca="1" si="19"/>
        <v>0.32533342428156409</v>
      </c>
      <c r="M79" s="66">
        <f t="shared" ca="1" si="13"/>
        <v>3.0379108060387995E-3</v>
      </c>
      <c r="N79" s="52">
        <f t="shared" ca="1" si="27"/>
        <v>888.81608597858735</v>
      </c>
      <c r="O79" s="49">
        <f t="shared" ca="1" si="23"/>
        <v>0.21569166722875477</v>
      </c>
      <c r="P79" s="49">
        <f t="shared" ca="1" si="24"/>
        <v>888.60039431135863</v>
      </c>
      <c r="Q79" s="64">
        <v>871.53</v>
      </c>
      <c r="R79" s="49">
        <f t="shared" ca="1" si="25"/>
        <v>17.070394311358655</v>
      </c>
      <c r="S79" s="49">
        <f t="shared" si="26"/>
        <v>22.260000000000105</v>
      </c>
      <c r="T79" s="65" t="str">
        <f t="shared" si="20"/>
        <v/>
      </c>
    </row>
    <row r="80" spans="1:20" ht="15.95" customHeight="1" x14ac:dyDescent="0.2">
      <c r="A80" s="90">
        <v>74</v>
      </c>
      <c r="B80" s="85">
        <v>47.83</v>
      </c>
      <c r="C80" s="63" t="s">
        <v>51</v>
      </c>
      <c r="D80" s="80" cm="1">
        <f t="array" ref="D80">_xlfn.IFS(C80=Auxiliar!$A$15,B80,C80=Auxiliar!$A$16,B80/2,Dimensionamento!C80=Auxiliar!$A$17,0)</f>
        <v>23.914999999999999</v>
      </c>
      <c r="E80" s="96">
        <v>72</v>
      </c>
      <c r="F80" s="63" t="s">
        <v>52</v>
      </c>
      <c r="G80" s="49">
        <f t="shared" si="18"/>
        <v>8.4597847087961295E-2</v>
      </c>
      <c r="H80" s="49">
        <f t="shared" si="17"/>
        <v>8.4597847087961295E-2</v>
      </c>
      <c r="I80" s="51">
        <f t="shared" si="21"/>
        <v>0</v>
      </c>
      <c r="J80" s="49">
        <f t="shared" si="22"/>
        <v>0.6</v>
      </c>
      <c r="K80" s="50">
        <f ca="1">IFERROR(IF(OFFSET(Auxiliar!$A$1,MATCH(J80,IF($L$2="F.F.",Auxiliar!$C$1:$C$12,Auxiliar!$B$1:$B$12),1),0)&gt;$H$3,OFFSET(Auxiliar!$A$1,MATCH(J80,IF($L$2="F.F.",Auxiliar!$C$1:$C$12,Auxiliar!$B$1:$B$12),1),0),$H$3),$H$3)</f>
        <v>50</v>
      </c>
      <c r="L80" s="48">
        <f t="shared" ca="1" si="19"/>
        <v>0.30557749073643903</v>
      </c>
      <c r="M80" s="66">
        <f t="shared" ca="1" si="13"/>
        <v>2.7054621926271396E-3</v>
      </c>
      <c r="N80" s="52">
        <f t="shared" ca="1" si="27"/>
        <v>888.81608597858735</v>
      </c>
      <c r="O80" s="49">
        <f t="shared" ca="1" si="23"/>
        <v>0.12940225667335609</v>
      </c>
      <c r="P80" s="49">
        <f t="shared" ca="1" si="24"/>
        <v>888.68668372191405</v>
      </c>
      <c r="Q80" s="64">
        <v>872.32</v>
      </c>
      <c r="R80" s="49">
        <f t="shared" ca="1" si="25"/>
        <v>16.366683721914001</v>
      </c>
      <c r="S80" s="49">
        <f t="shared" si="26"/>
        <v>21.470000000000027</v>
      </c>
      <c r="T80" s="65" t="str">
        <f t="shared" si="20"/>
        <v/>
      </c>
    </row>
    <row r="81" spans="1:20" ht="15.95" customHeight="1" x14ac:dyDescent="0.2">
      <c r="A81" s="83">
        <v>75</v>
      </c>
      <c r="B81" s="85">
        <v>71</v>
      </c>
      <c r="C81" s="63" t="s">
        <v>52</v>
      </c>
      <c r="D81" s="80" cm="1">
        <f t="array" ref="D81">_xlfn.IFS(C81=Auxiliar!$A$15,B81,C81=Auxiliar!$A$16,B81/2,Dimensionamento!C81=Auxiliar!$A$17,0)</f>
        <v>71</v>
      </c>
      <c r="E81" s="86">
        <v>73</v>
      </c>
      <c r="F81" s="63" t="s">
        <v>51</v>
      </c>
      <c r="G81" s="49">
        <f t="shared" si="18"/>
        <v>0.4286137630111993</v>
      </c>
      <c r="H81" s="49">
        <f t="shared" si="17"/>
        <v>0.25115814941439485</v>
      </c>
      <c r="I81" s="51">
        <f t="shared" si="21"/>
        <v>0.17745561359680445</v>
      </c>
      <c r="J81" s="49">
        <f t="shared" si="22"/>
        <v>0.6</v>
      </c>
      <c r="K81" s="82">
        <v>75</v>
      </c>
      <c r="L81" s="48">
        <f t="shared" si="19"/>
        <v>0.13581221810508401</v>
      </c>
      <c r="M81" s="66">
        <f t="shared" si="13"/>
        <v>3.7555801736519854E-4</v>
      </c>
      <c r="N81" s="52">
        <f t="shared" ca="1" si="27"/>
        <v>888.60039431135863</v>
      </c>
      <c r="O81" s="49">
        <f t="shared" si="23"/>
        <v>2.6664619232929097E-2</v>
      </c>
      <c r="P81" s="49">
        <f t="shared" ca="1" si="24"/>
        <v>888.57372969212565</v>
      </c>
      <c r="Q81" s="64">
        <v>869.7</v>
      </c>
      <c r="R81" s="49">
        <f t="shared" ca="1" si="25"/>
        <v>18.873729692125607</v>
      </c>
      <c r="S81" s="49">
        <f t="shared" si="26"/>
        <v>24.090000000000032</v>
      </c>
      <c r="T81" s="65" t="str">
        <f t="shared" si="20"/>
        <v/>
      </c>
    </row>
    <row r="82" spans="1:20" ht="15.95" customHeight="1" x14ac:dyDescent="0.2">
      <c r="A82" s="83">
        <v>76</v>
      </c>
      <c r="B82" s="85">
        <v>47.83</v>
      </c>
      <c r="C82" s="63" t="s">
        <v>51</v>
      </c>
      <c r="D82" s="80" cm="1">
        <f t="array" ref="D82">_xlfn.IFS(C82=Auxiliar!$A$15,B82,C82=Auxiliar!$A$16,B82/2,Dimensionamento!C82=Auxiliar!$A$17,0)</f>
        <v>23.914999999999999</v>
      </c>
      <c r="E82" s="86">
        <v>73</v>
      </c>
      <c r="F82" s="63" t="s">
        <v>52</v>
      </c>
      <c r="G82" s="49">
        <f t="shared" si="18"/>
        <v>8.4597847087961295E-2</v>
      </c>
      <c r="H82" s="49">
        <f t="shared" si="17"/>
        <v>8.4597847087961295E-2</v>
      </c>
      <c r="I82" s="51">
        <f t="shared" si="21"/>
        <v>0</v>
      </c>
      <c r="J82" s="49">
        <f t="shared" si="22"/>
        <v>0.6</v>
      </c>
      <c r="K82" s="50">
        <f ca="1">IFERROR(IF(OFFSET(Auxiliar!$A$1,MATCH(J82,IF($L$2="F.F.",Auxiliar!$C$1:$C$12,Auxiliar!$B$1:$B$12),1),0)&gt;$H$3,OFFSET(Auxiliar!$A$1,MATCH(J82,IF($L$2="F.F.",Auxiliar!$C$1:$C$12,Auxiliar!$B$1:$B$12),1),0),$H$3),$H$3)</f>
        <v>50</v>
      </c>
      <c r="L82" s="48">
        <f t="shared" ca="1" si="19"/>
        <v>0.30557749073643903</v>
      </c>
      <c r="M82" s="66">
        <f t="shared" ca="1" si="13"/>
        <v>2.7054621926271396E-3</v>
      </c>
      <c r="N82" s="52">
        <f t="shared" ca="1" si="27"/>
        <v>888.60039431135863</v>
      </c>
      <c r="O82" s="49">
        <f t="shared" ca="1" si="23"/>
        <v>0.12940225667335609</v>
      </c>
      <c r="P82" s="49">
        <f t="shared" ca="1" si="24"/>
        <v>888.47099205468533</v>
      </c>
      <c r="Q82" s="64">
        <v>871.36</v>
      </c>
      <c r="R82" s="49">
        <f t="shared" ca="1" si="25"/>
        <v>17.110992054685312</v>
      </c>
      <c r="S82" s="49">
        <f t="shared" si="26"/>
        <v>22.430000000000064</v>
      </c>
      <c r="T82" s="65" t="str">
        <f t="shared" si="20"/>
        <v/>
      </c>
    </row>
    <row r="83" spans="1:20" ht="15.95" customHeight="1" x14ac:dyDescent="0.2">
      <c r="A83" s="81">
        <v>77</v>
      </c>
      <c r="B83" s="85">
        <v>47.83</v>
      </c>
      <c r="C83" s="63" t="s">
        <v>51</v>
      </c>
      <c r="D83" s="80" cm="1">
        <f t="array" ref="D83">_xlfn.IFS(C83=Auxiliar!$A$15,B83,C83=Auxiliar!$A$16,B83/2,Dimensionamento!C83=Auxiliar!$A$17,0)</f>
        <v>23.914999999999999</v>
      </c>
      <c r="E83" s="86">
        <v>75</v>
      </c>
      <c r="F83" s="74" t="s">
        <v>51</v>
      </c>
      <c r="G83" s="49">
        <f t="shared" si="18"/>
        <v>0.17745561359680445</v>
      </c>
      <c r="H83" s="49">
        <f t="shared" si="17"/>
        <v>8.4597847087961295E-2</v>
      </c>
      <c r="I83" s="51">
        <f t="shared" si="21"/>
        <v>9.2857766508843156E-2</v>
      </c>
      <c r="J83" s="49">
        <f t="shared" si="22"/>
        <v>0.6</v>
      </c>
      <c r="K83" s="50">
        <f ca="1">IFERROR(IF(OFFSET(Auxiliar!$A$1,MATCH(J83,IF($L$2="F.F.",Auxiliar!$C$1:$C$12,Auxiliar!$B$1:$B$12),1),0)&gt;$H$3,OFFSET(Auxiliar!$A$1,MATCH(J83,IF($L$2="F.F.",Auxiliar!$C$1:$C$12,Auxiliar!$B$1:$B$12),1),0),$H$3),$H$3)</f>
        <v>50</v>
      </c>
      <c r="L83" s="48">
        <f t="shared" ca="1" si="19"/>
        <v>0.30557749073643903</v>
      </c>
      <c r="M83" s="66">
        <f t="shared" ca="1" si="13"/>
        <v>2.7054621926271396E-3</v>
      </c>
      <c r="N83" s="52">
        <f t="shared" ca="1" si="27"/>
        <v>888.57372969212565</v>
      </c>
      <c r="O83" s="49">
        <f t="shared" ca="1" si="23"/>
        <v>0.12940225667335609</v>
      </c>
      <c r="P83" s="49">
        <f t="shared" ca="1" si="24"/>
        <v>888.44432743545235</v>
      </c>
      <c r="Q83" s="64">
        <v>869.47</v>
      </c>
      <c r="R83" s="49">
        <f t="shared" ca="1" si="25"/>
        <v>18.974327435452324</v>
      </c>
      <c r="S83" s="49">
        <f t="shared" si="26"/>
        <v>24.32000000000005</v>
      </c>
      <c r="T83" s="65" t="str">
        <f t="shared" si="20"/>
        <v/>
      </c>
    </row>
    <row r="84" spans="1:20" ht="15.95" customHeight="1" x14ac:dyDescent="0.2">
      <c r="A84" s="83">
        <v>78</v>
      </c>
      <c r="B84" s="85">
        <v>47.83</v>
      </c>
      <c r="C84" s="63" t="s">
        <v>51</v>
      </c>
      <c r="D84" s="80" cm="1">
        <f t="array" ref="D84">_xlfn.IFS(C84=Auxiliar!$A$15,B84,C84=Auxiliar!$A$16,B84/2,Dimensionamento!C84=Auxiliar!$A$17,0)</f>
        <v>23.914999999999999</v>
      </c>
      <c r="E84" s="86">
        <v>117</v>
      </c>
      <c r="F84" s="63" t="s">
        <v>51</v>
      </c>
      <c r="G84" s="49">
        <f t="shared" si="18"/>
        <v>4.7134053976886543</v>
      </c>
      <c r="H84" s="49">
        <f t="shared" si="17"/>
        <v>8.4597847087961295E-2</v>
      </c>
      <c r="I84" s="51">
        <f t="shared" si="21"/>
        <v>4.6288075506006932</v>
      </c>
      <c r="J84" s="49">
        <f t="shared" si="22"/>
        <v>4.6711064741446737</v>
      </c>
      <c r="K84" s="50">
        <f ca="1">IFERROR(IF(OFFSET(Auxiliar!$A$1,MATCH(J84,IF($L$2="F.F.",Auxiliar!$C$1:$C$12,Auxiliar!$B$1:$B$12),1),0)&gt;$H$3,OFFSET(Auxiliar!$A$1,MATCH(J84,IF($L$2="F.F.",Auxiliar!$C$1:$C$12,Auxiliar!$B$1:$B$12),1),0),$H$3),$H$3)</f>
        <v>100</v>
      </c>
      <c r="L84" s="48">
        <f t="shared" ca="1" si="19"/>
        <v>0.59474374805494357</v>
      </c>
      <c r="M84" s="66">
        <f t="shared" ca="1" si="13"/>
        <v>4.121659831463606E-3</v>
      </c>
      <c r="N84" s="52">
        <f t="shared" ca="1" si="27"/>
        <v>889.26146789365669</v>
      </c>
      <c r="O84" s="49">
        <f t="shared" ca="1" si="23"/>
        <v>0.19713898973890426</v>
      </c>
      <c r="P84" s="49">
        <f t="shared" ca="1" si="24"/>
        <v>889.06432890391773</v>
      </c>
      <c r="Q84" s="64">
        <v>873.4</v>
      </c>
      <c r="R84" s="49">
        <f t="shared" ca="1" si="25"/>
        <v>15.664328903917749</v>
      </c>
      <c r="S84" s="49">
        <f t="shared" si="26"/>
        <v>20.3900000000001</v>
      </c>
      <c r="T84" s="65" t="str">
        <f t="shared" si="20"/>
        <v/>
      </c>
    </row>
    <row r="85" spans="1:20" ht="15.95" customHeight="1" x14ac:dyDescent="0.2">
      <c r="A85" s="83">
        <v>79</v>
      </c>
      <c r="B85" s="85">
        <v>67.83</v>
      </c>
      <c r="C85" s="63" t="s">
        <v>51</v>
      </c>
      <c r="D85" s="80" cm="1">
        <f t="array" ref="D85">_xlfn.IFS(C85=Auxiliar!$A$15,B85,C85=Auxiliar!$A$16,B85/2,Dimensionamento!C85=Auxiliar!$A$17,0)</f>
        <v>33.914999999999999</v>
      </c>
      <c r="E85" s="86">
        <v>78</v>
      </c>
      <c r="F85" s="63" t="s">
        <v>51</v>
      </c>
      <c r="G85" s="49">
        <f t="shared" si="18"/>
        <v>2.6364424687901438</v>
      </c>
      <c r="H85" s="49">
        <f t="shared" si="17"/>
        <v>0.11997223432942536</v>
      </c>
      <c r="I85" s="51">
        <f t="shared" si="21"/>
        <v>2.5164702344607184</v>
      </c>
      <c r="J85" s="49">
        <f t="shared" si="22"/>
        <v>2.5764563516254313</v>
      </c>
      <c r="K85" s="50">
        <f ca="1">IFERROR(IF(OFFSET(Auxiliar!$A$1,MATCH(J85,IF($L$2="F.F.",Auxiliar!$C$1:$C$12,Auxiliar!$B$1:$B$12),1),0)&gt;$H$3,OFFSET(Auxiliar!$A$1,MATCH(J85,IF($L$2="F.F.",Auxiliar!$C$1:$C$12,Auxiliar!$B$1:$B$12),1),0),$H$3),$H$3)</f>
        <v>75</v>
      </c>
      <c r="L85" s="48">
        <f t="shared" ca="1" si="19"/>
        <v>0.58319041994197018</v>
      </c>
      <c r="M85" s="66">
        <f t="shared" ca="1" si="13"/>
        <v>5.565310311440236E-3</v>
      </c>
      <c r="N85" s="52">
        <f t="shared" ca="1" si="27"/>
        <v>889.06432890391773</v>
      </c>
      <c r="O85" s="49">
        <f t="shared" ca="1" si="23"/>
        <v>0.37749499842499118</v>
      </c>
      <c r="P85" s="49">
        <f t="shared" ca="1" si="24"/>
        <v>888.68683390549279</v>
      </c>
      <c r="Q85" s="64">
        <v>872.32</v>
      </c>
      <c r="R85" s="49">
        <f t="shared" ca="1" si="25"/>
        <v>16.36683390549274</v>
      </c>
      <c r="S85" s="49">
        <f t="shared" si="26"/>
        <v>21.470000000000027</v>
      </c>
      <c r="T85" s="65" t="str">
        <f t="shared" si="20"/>
        <v/>
      </c>
    </row>
    <row r="86" spans="1:20" ht="15.95" customHeight="1" x14ac:dyDescent="0.2">
      <c r="A86" s="83">
        <v>80</v>
      </c>
      <c r="B86" s="85">
        <v>71</v>
      </c>
      <c r="C86" s="63" t="s">
        <v>51</v>
      </c>
      <c r="D86" s="80" cm="1">
        <f t="array" ref="D86">_xlfn.IFS(C86=Auxiliar!$A$15,B86,C86=Auxiliar!$A$16,B86/2,Dimensionamento!C86=Auxiliar!$A$17,0)</f>
        <v>35.5</v>
      </c>
      <c r="E86" s="86">
        <v>79</v>
      </c>
      <c r="F86" s="63" t="s">
        <v>51</v>
      </c>
      <c r="G86" s="49">
        <f t="shared" si="18"/>
        <v>2.5164702344607184</v>
      </c>
      <c r="H86" s="49">
        <f t="shared" si="17"/>
        <v>0.12557907470719742</v>
      </c>
      <c r="I86" s="51">
        <f t="shared" si="21"/>
        <v>2.390891159753521</v>
      </c>
      <c r="J86" s="49">
        <f t="shared" si="22"/>
        <v>2.4536806971071199</v>
      </c>
      <c r="K86" s="50">
        <f ca="1">IFERROR(IF(OFFSET(Auxiliar!$A$1,MATCH(J86,IF($L$2="F.F.",Auxiliar!$C$1:$C$12,Auxiliar!$B$1:$B$12),1),0)&gt;$H$3,OFFSET(Auxiliar!$A$1,MATCH(J86,IF($L$2="F.F.",Auxiliar!$C$1:$C$12,Auxiliar!$B$1:$B$12),1),0),$H$3),$H$3)</f>
        <v>75</v>
      </c>
      <c r="L86" s="48">
        <f t="shared" ca="1" si="19"/>
        <v>0.555399696659578</v>
      </c>
      <c r="M86" s="66">
        <f t="shared" ca="1" si="13"/>
        <v>5.0846446900350258E-3</v>
      </c>
      <c r="N86" s="52">
        <f t="shared" ca="1" si="27"/>
        <v>888.68683390549279</v>
      </c>
      <c r="O86" s="49">
        <f t="shared" ca="1" si="23"/>
        <v>0.36100977299248682</v>
      </c>
      <c r="P86" s="49">
        <f t="shared" ca="1" si="24"/>
        <v>888.32582413250032</v>
      </c>
      <c r="Q86" s="64">
        <v>871.36</v>
      </c>
      <c r="R86" s="49">
        <f t="shared" ca="1" si="25"/>
        <v>16.965824132500302</v>
      </c>
      <c r="S86" s="49">
        <f t="shared" si="26"/>
        <v>22.430000000000064</v>
      </c>
      <c r="T86" s="65" t="str">
        <f t="shared" si="20"/>
        <v/>
      </c>
    </row>
    <row r="87" spans="1:20" ht="15.95" customHeight="1" x14ac:dyDescent="0.2">
      <c r="A87" s="81">
        <v>81</v>
      </c>
      <c r="B87" s="85">
        <v>56.66</v>
      </c>
      <c r="C87" s="63" t="s">
        <v>51</v>
      </c>
      <c r="D87" s="80" cm="1">
        <f t="array" ref="D87">_xlfn.IFS(C87=Auxiliar!$A$15,B87,C87=Auxiliar!$A$16,B87/2,Dimensionamento!C87=Auxiliar!$A$17,0)</f>
        <v>28.33</v>
      </c>
      <c r="E87" s="86">
        <v>122</v>
      </c>
      <c r="F87" s="74" t="s">
        <v>52</v>
      </c>
      <c r="G87" s="49">
        <f t="shared" si="18"/>
        <v>0.10021563905506768</v>
      </c>
      <c r="H87" s="49">
        <f t="shared" si="17"/>
        <v>0.10021563905506768</v>
      </c>
      <c r="I87" s="51">
        <f t="shared" si="21"/>
        <v>0</v>
      </c>
      <c r="J87" s="49">
        <f t="shared" si="22"/>
        <v>0.6</v>
      </c>
      <c r="K87" s="50">
        <f ca="1">IFERROR(IF(OFFSET(Auxiliar!$A$1,MATCH(J87,IF($L$2="F.F.",Auxiliar!$C$1:$C$12,Auxiliar!$B$1:$B$12),1),0)&gt;$H$3,OFFSET(Auxiliar!$A$1,MATCH(J87,IF($L$2="F.F.",Auxiliar!$C$1:$C$12,Auxiliar!$B$1:$B$12),1),0),$H$3),$H$3)</f>
        <v>50</v>
      </c>
      <c r="L87" s="48">
        <f t="shared" ca="1" si="19"/>
        <v>0.30557749073643903</v>
      </c>
      <c r="M87" s="66">
        <f t="shared" ref="M87:M123" ca="1" si="28">(10.641*((0.001*J87)^1.85))/(($L$3^1.85)*((0.001*K87)^4.87))</f>
        <v>2.7054621926271396E-3</v>
      </c>
      <c r="N87" s="52">
        <f t="shared" ca="1" si="27"/>
        <v>888.24277938005525</v>
      </c>
      <c r="O87" s="49">
        <f t="shared" ca="1" si="23"/>
        <v>0.15329148783425373</v>
      </c>
      <c r="P87" s="49">
        <f t="shared" ca="1" si="24"/>
        <v>888.08948789222097</v>
      </c>
      <c r="Q87" s="64">
        <v>869.47</v>
      </c>
      <c r="R87" s="49">
        <f t="shared" ca="1" si="25"/>
        <v>18.619487892220945</v>
      </c>
      <c r="S87" s="49">
        <f t="shared" si="26"/>
        <v>24.32000000000005</v>
      </c>
      <c r="T87" s="65" t="str">
        <f t="shared" si="20"/>
        <v/>
      </c>
    </row>
    <row r="88" spans="1:20" ht="15.95" customHeight="1" x14ac:dyDescent="0.2">
      <c r="A88" s="81">
        <v>82</v>
      </c>
      <c r="B88" s="85">
        <v>52.5</v>
      </c>
      <c r="C88" s="63" t="s">
        <v>51</v>
      </c>
      <c r="D88" s="80" cm="1">
        <f t="array" ref="D88">_xlfn.IFS(C88=Auxiliar!$A$15,B88,C88=Auxiliar!$A$16,B88/2,Dimensionamento!C88=Auxiliar!$A$17,0)</f>
        <v>26.25</v>
      </c>
      <c r="E88" s="87">
        <v>77</v>
      </c>
      <c r="F88" s="63" t="s">
        <v>52</v>
      </c>
      <c r="G88" s="49">
        <f t="shared" si="18"/>
        <v>9.2857766508843156E-2</v>
      </c>
      <c r="H88" s="49">
        <f t="shared" si="17"/>
        <v>9.2857766508843156E-2</v>
      </c>
      <c r="I88" s="51">
        <f t="shared" si="21"/>
        <v>0</v>
      </c>
      <c r="J88" s="49">
        <f t="shared" si="22"/>
        <v>0.6</v>
      </c>
      <c r="K88" s="50">
        <f ca="1">IFERROR(IF(OFFSET(Auxiliar!$A$1,MATCH(J88,IF($L$2="F.F.",Auxiliar!$C$1:$C$12,Auxiliar!$B$1:$B$12),1),0)&gt;$H$3,OFFSET(Auxiliar!$A$1,MATCH(J88,IF($L$2="F.F.",Auxiliar!$C$1:$C$12,Auxiliar!$B$1:$B$12),1),0),$H$3),$H$3)</f>
        <v>50</v>
      </c>
      <c r="L88" s="48">
        <f t="shared" ca="1" si="19"/>
        <v>0.30557749073643903</v>
      </c>
      <c r="M88" s="66">
        <f t="shared" ca="1" si="28"/>
        <v>2.7054621926271396E-3</v>
      </c>
      <c r="N88" s="52">
        <f t="shared" ca="1" si="27"/>
        <v>888.44432743545235</v>
      </c>
      <c r="O88" s="49">
        <f t="shared" ca="1" si="23"/>
        <v>0.14203676511292482</v>
      </c>
      <c r="P88" s="49">
        <f t="shared" ca="1" si="24"/>
        <v>888.3022906703394</v>
      </c>
      <c r="Q88" s="64">
        <v>866.04</v>
      </c>
      <c r="R88" s="49">
        <f t="shared" ca="1" si="25"/>
        <v>22.262290670339439</v>
      </c>
      <c r="S88" s="49">
        <f t="shared" si="26"/>
        <v>27.750000000000114</v>
      </c>
      <c r="T88" s="65" t="str">
        <f t="shared" si="20"/>
        <v/>
      </c>
    </row>
    <row r="89" spans="1:20" ht="15.95" customHeight="1" x14ac:dyDescent="0.2">
      <c r="A89" s="83">
        <v>83</v>
      </c>
      <c r="B89" s="85">
        <v>48.34</v>
      </c>
      <c r="C89" s="63" t="s">
        <v>49</v>
      </c>
      <c r="D89" s="80" cm="1">
        <f t="array" ref="D89">_xlfn.IFS(C89=Auxiliar!$A$15,B89,C89=Auxiliar!$A$16,B89/2,Dimensionamento!C89=Auxiliar!$A$17,0)</f>
        <v>0</v>
      </c>
      <c r="E89" s="86">
        <v>68</v>
      </c>
      <c r="F89" s="63" t="s">
        <v>52</v>
      </c>
      <c r="G89" s="49">
        <f t="shared" si="18"/>
        <v>0</v>
      </c>
      <c r="H89" s="49">
        <f t="shared" si="17"/>
        <v>0</v>
      </c>
      <c r="I89" s="51">
        <f t="shared" si="21"/>
        <v>0</v>
      </c>
      <c r="J89" s="49">
        <f t="shared" si="22"/>
        <v>0.6</v>
      </c>
      <c r="K89" s="50">
        <f ca="1">IFERROR(IF(OFFSET(Auxiliar!$A$1,MATCH(J89,IF($L$2="F.F.",Auxiliar!$C$1:$C$12,Auxiliar!$B$1:$B$12),1),0)&gt;$H$3,OFFSET(Auxiliar!$A$1,MATCH(J89,IF($L$2="F.F.",Auxiliar!$C$1:$C$12,Auxiliar!$B$1:$B$12),1),0),$H$3),$H$3)</f>
        <v>50</v>
      </c>
      <c r="L89" s="48">
        <f t="shared" ca="1" si="19"/>
        <v>0.30557749073643903</v>
      </c>
      <c r="M89" s="66">
        <f t="shared" ca="1" si="28"/>
        <v>2.7054621926271396E-3</v>
      </c>
      <c r="N89" s="52">
        <f t="shared" ca="1" si="27"/>
        <v>889.25912490862584</v>
      </c>
      <c r="O89" s="49">
        <f t="shared" ca="1" si="23"/>
        <v>0.13078204239159594</v>
      </c>
      <c r="P89" s="49">
        <f t="shared" ca="1" si="24"/>
        <v>889.12834286623422</v>
      </c>
      <c r="Q89" s="64">
        <v>864.54</v>
      </c>
      <c r="R89" s="49">
        <f t="shared" ca="1" si="25"/>
        <v>24.588342866234257</v>
      </c>
      <c r="S89" s="49">
        <f t="shared" si="26"/>
        <v>29.250000000000114</v>
      </c>
      <c r="T89" s="65" t="str">
        <f t="shared" si="20"/>
        <v/>
      </c>
    </row>
    <row r="90" spans="1:20" ht="15.95" customHeight="1" x14ac:dyDescent="0.2">
      <c r="A90" s="81">
        <v>84</v>
      </c>
      <c r="B90" s="79">
        <v>25.914999999999999</v>
      </c>
      <c r="C90" s="74" t="s">
        <v>49</v>
      </c>
      <c r="D90" s="80" cm="1">
        <f t="array" ref="D90">_xlfn.IFS(C90=Auxiliar!$A$15,B90,C90=Auxiliar!$A$16,B90/2,Dimensionamento!C90=Auxiliar!$A$17,0)</f>
        <v>0</v>
      </c>
      <c r="E90" s="86">
        <v>78</v>
      </c>
      <c r="F90" s="63" t="s">
        <v>51</v>
      </c>
      <c r="G90" s="49">
        <f t="shared" si="18"/>
        <v>1.9923650818105494</v>
      </c>
      <c r="H90" s="49">
        <f t="shared" si="17"/>
        <v>0</v>
      </c>
      <c r="I90" s="51">
        <f t="shared" si="21"/>
        <v>1.9923650818105494</v>
      </c>
      <c r="J90" s="49">
        <f t="shared" si="22"/>
        <v>1.9923650818105494</v>
      </c>
      <c r="K90" s="50">
        <f ca="1">IFERROR(IF(OFFSET(Auxiliar!$A$1,MATCH(J90,IF($L$2="F.F.",Auxiliar!$C$1:$C$12,Auxiliar!$B$1:$B$12),1),0)&gt;$H$3,OFFSET(Auxiliar!$A$1,MATCH(J90,IF($L$2="F.F.",Auxiliar!$C$1:$C$12,Auxiliar!$B$1:$B$12),1),0),$H$3),$H$3)</f>
        <v>75</v>
      </c>
      <c r="L90" s="48">
        <f t="shared" ca="1" si="19"/>
        <v>0.45097920172634648</v>
      </c>
      <c r="M90" s="66">
        <f t="shared" ca="1" si="28"/>
        <v>3.4588340811114956E-3</v>
      </c>
      <c r="N90" s="52">
        <f t="shared" ca="1" si="27"/>
        <v>889.06432890391773</v>
      </c>
      <c r="O90" s="49">
        <f t="shared" ca="1" si="23"/>
        <v>8.9635685212004407E-2</v>
      </c>
      <c r="P90" s="49">
        <f t="shared" ca="1" si="24"/>
        <v>888.97469321870574</v>
      </c>
      <c r="Q90" s="64">
        <v>872.83</v>
      </c>
      <c r="R90" s="49">
        <f t="shared" ca="1" si="25"/>
        <v>16.144693218705697</v>
      </c>
      <c r="S90" s="49">
        <f t="shared" si="26"/>
        <v>20.960000000000036</v>
      </c>
      <c r="T90" s="65" t="str">
        <f t="shared" si="20"/>
        <v/>
      </c>
    </row>
    <row r="91" spans="1:20" ht="15.95" customHeight="1" x14ac:dyDescent="0.2">
      <c r="A91" s="81">
        <v>85</v>
      </c>
      <c r="B91" s="79">
        <v>75.17</v>
      </c>
      <c r="C91" s="74" t="s">
        <v>51</v>
      </c>
      <c r="D91" s="80" cm="1">
        <f t="array" ref="D91">_xlfn.IFS(C91=Auxiliar!$A$15,B91,C91=Auxiliar!$A$16,B91/2,Dimensionamento!C91=Auxiliar!$A$17,0)</f>
        <v>37.585000000000001</v>
      </c>
      <c r="E91" s="86">
        <v>84</v>
      </c>
      <c r="F91" s="63" t="s">
        <v>51</v>
      </c>
      <c r="G91" s="49">
        <f t="shared" si="18"/>
        <v>0.47168207947768181</v>
      </c>
      <c r="H91" s="49">
        <f t="shared" si="17"/>
        <v>0.13295463444704267</v>
      </c>
      <c r="I91" s="51">
        <f t="shared" si="21"/>
        <v>0.33872744503063912</v>
      </c>
      <c r="J91" s="49">
        <f t="shared" si="22"/>
        <v>0.6</v>
      </c>
      <c r="K91" s="50">
        <f ca="1">IFERROR(IF(OFFSET(Auxiliar!$A$1,MATCH(J91,IF($L$2="F.F.",Auxiliar!$C$1:$C$12,Auxiliar!$B$1:$B$12),1),0)&gt;$H$3,OFFSET(Auxiliar!$A$1,MATCH(J91,IF($L$2="F.F.",Auxiliar!$C$1:$C$12,Auxiliar!$B$1:$B$12),1),0),$H$3),$H$3)</f>
        <v>50</v>
      </c>
      <c r="L91" s="48">
        <f t="shared" ca="1" si="19"/>
        <v>0.30557749073643903</v>
      </c>
      <c r="M91" s="66">
        <f t="shared" ca="1" si="28"/>
        <v>2.7054621926271396E-3</v>
      </c>
      <c r="N91" s="52">
        <f t="shared" ca="1" si="27"/>
        <v>888.97469321870574</v>
      </c>
      <c r="O91" s="49">
        <f t="shared" ca="1" si="23"/>
        <v>0.20336959301978208</v>
      </c>
      <c r="P91" s="49">
        <f t="shared" ca="1" si="24"/>
        <v>888.77132362568591</v>
      </c>
      <c r="Q91" s="64">
        <v>871.94</v>
      </c>
      <c r="R91" s="49">
        <f t="shared" ca="1" si="25"/>
        <v>16.831323625685854</v>
      </c>
      <c r="S91" s="49">
        <f t="shared" si="26"/>
        <v>21.850000000000023</v>
      </c>
      <c r="T91" s="65" t="str">
        <f t="shared" si="20"/>
        <v/>
      </c>
    </row>
    <row r="92" spans="1:20" ht="15.95" customHeight="1" x14ac:dyDescent="0.2">
      <c r="A92" s="81">
        <v>86</v>
      </c>
      <c r="B92" s="79">
        <v>81</v>
      </c>
      <c r="C92" s="74" t="s">
        <v>51</v>
      </c>
      <c r="D92" s="80" cm="1">
        <f t="array" ref="D92">_xlfn.IFS(C92=Auxiliar!$A$15,B92,C92=Auxiliar!$A$16,B92/2,Dimensionamento!C92=Auxiliar!$A$17,0)</f>
        <v>40.5</v>
      </c>
      <c r="E92" s="87">
        <v>85</v>
      </c>
      <c r="F92" s="74" t="s">
        <v>52</v>
      </c>
      <c r="G92" s="49">
        <f t="shared" si="18"/>
        <v>0.14326626832792944</v>
      </c>
      <c r="H92" s="49">
        <f t="shared" si="17"/>
        <v>0.14326626832792944</v>
      </c>
      <c r="I92" s="51">
        <f t="shared" si="21"/>
        <v>0</v>
      </c>
      <c r="J92" s="49">
        <f t="shared" si="22"/>
        <v>0.6</v>
      </c>
      <c r="K92" s="50">
        <f ca="1">IFERROR(IF(OFFSET(Auxiliar!$A$1,MATCH(J92,IF($L$2="F.F.",Auxiliar!$C$1:$C$12,Auxiliar!$B$1:$B$12),1),0)&gt;$H$3,OFFSET(Auxiliar!$A$1,MATCH(J92,IF($L$2="F.F.",Auxiliar!$C$1:$C$12,Auxiliar!$B$1:$B$12),1),0),$H$3),$H$3)</f>
        <v>50</v>
      </c>
      <c r="L92" s="48">
        <f t="shared" ca="1" si="19"/>
        <v>0.30557749073643903</v>
      </c>
      <c r="M92" s="66">
        <f t="shared" ca="1" si="28"/>
        <v>2.7054621926271396E-3</v>
      </c>
      <c r="N92" s="52">
        <f t="shared" ca="1" si="27"/>
        <v>888.77132362568591</v>
      </c>
      <c r="O92" s="49">
        <f t="shared" ca="1" si="23"/>
        <v>0.21914243760279831</v>
      </c>
      <c r="P92" s="49">
        <f t="shared" ca="1" si="24"/>
        <v>888.55218118808307</v>
      </c>
      <c r="Q92" s="64">
        <v>870.93</v>
      </c>
      <c r="R92" s="49">
        <f t="shared" ca="1" si="25"/>
        <v>17.622181188083118</v>
      </c>
      <c r="S92" s="49">
        <f t="shared" si="26"/>
        <v>22.860000000000127</v>
      </c>
      <c r="T92" s="65" t="str">
        <f t="shared" si="20"/>
        <v/>
      </c>
    </row>
    <row r="93" spans="1:20" ht="15.95" customHeight="1" x14ac:dyDescent="0.2">
      <c r="A93" s="81">
        <v>87</v>
      </c>
      <c r="B93" s="79">
        <v>55.255000000000003</v>
      </c>
      <c r="C93" s="74" t="s">
        <v>52</v>
      </c>
      <c r="D93" s="80" cm="1">
        <f t="array" ref="D93">_xlfn.IFS(C93=Auxiliar!$A$15,B93,C93=Auxiliar!$A$16,B93/2,Dimensionamento!C93=Auxiliar!$A$17,0)</f>
        <v>55.255000000000003</v>
      </c>
      <c r="E93" s="87">
        <v>85</v>
      </c>
      <c r="F93" s="74" t="s">
        <v>52</v>
      </c>
      <c r="G93" s="49">
        <f t="shared" si="18"/>
        <v>0.19546117670270968</v>
      </c>
      <c r="H93" s="49">
        <f t="shared" si="17"/>
        <v>0.19546117670270968</v>
      </c>
      <c r="I93" s="51">
        <f t="shared" si="21"/>
        <v>0</v>
      </c>
      <c r="J93" s="49">
        <f t="shared" si="22"/>
        <v>0.6</v>
      </c>
      <c r="K93" s="50">
        <f ca="1">IFERROR(IF(OFFSET(Auxiliar!$A$1,MATCH(J93,IF($L$2="F.F.",Auxiliar!$C$1:$C$12,Auxiliar!$B$1:$B$12),1),0)&gt;$H$3,OFFSET(Auxiliar!$A$1,MATCH(J93,IF($L$2="F.F.",Auxiliar!$C$1:$C$12,Auxiliar!$B$1:$B$12),1),0),$H$3),$H$3)</f>
        <v>50</v>
      </c>
      <c r="L93" s="48">
        <f t="shared" ca="1" si="19"/>
        <v>0.30557749073643903</v>
      </c>
      <c r="M93" s="66">
        <f t="shared" ca="1" si="28"/>
        <v>2.7054621926271396E-3</v>
      </c>
      <c r="N93" s="52">
        <f t="shared" ca="1" si="27"/>
        <v>888.77132362568591</v>
      </c>
      <c r="O93" s="49">
        <f t="shared" ca="1" si="23"/>
        <v>0.14949031345361261</v>
      </c>
      <c r="P93" s="49">
        <f t="shared" ca="1" si="24"/>
        <v>888.6218333122323</v>
      </c>
      <c r="Q93" s="64">
        <v>871.15</v>
      </c>
      <c r="R93" s="49">
        <f t="shared" ca="1" si="25"/>
        <v>17.47183331223232</v>
      </c>
      <c r="S93" s="49">
        <f t="shared" si="26"/>
        <v>22.6400000000001</v>
      </c>
      <c r="T93" s="65" t="str">
        <f t="shared" si="20"/>
        <v/>
      </c>
    </row>
    <row r="94" spans="1:20" ht="15.95" customHeight="1" x14ac:dyDescent="0.2">
      <c r="A94" s="81">
        <v>88</v>
      </c>
      <c r="B94" s="79">
        <v>55.255000000000003</v>
      </c>
      <c r="C94" s="74" t="s">
        <v>52</v>
      </c>
      <c r="D94" s="80" cm="1">
        <f t="array" ref="D94">_xlfn.IFS(C94=Auxiliar!$A$15,B94,C94=Auxiliar!$A$16,B94/2,Dimensionamento!C94=Auxiliar!$A$17,0)</f>
        <v>55.255000000000003</v>
      </c>
      <c r="E94" s="87">
        <v>123</v>
      </c>
      <c r="F94" s="74" t="s">
        <v>52</v>
      </c>
      <c r="G94" s="49">
        <f t="shared" si="18"/>
        <v>0.19546117670270968</v>
      </c>
      <c r="H94" s="49">
        <f t="shared" si="17"/>
        <v>0.19546117670270968</v>
      </c>
      <c r="I94" s="51">
        <f t="shared" si="21"/>
        <v>0</v>
      </c>
      <c r="J94" s="49">
        <f t="shared" si="22"/>
        <v>0.6</v>
      </c>
      <c r="K94" s="50">
        <f ca="1">IFERROR(IF(OFFSET(Auxiliar!$A$1,MATCH(J94,IF($L$2="F.F.",Auxiliar!$C$1:$C$12,Auxiliar!$B$1:$B$12),1),0)&gt;$H$3,OFFSET(Auxiliar!$A$1,MATCH(J94,IF($L$2="F.F.",Auxiliar!$C$1:$C$12,Auxiliar!$B$1:$B$12),1),0),$H$3),$H$3)</f>
        <v>50</v>
      </c>
      <c r="L94" s="48">
        <f t="shared" ca="1" si="19"/>
        <v>0.30557749073643903</v>
      </c>
      <c r="M94" s="66">
        <f t="shared" ca="1" si="28"/>
        <v>2.7054621926271396E-3</v>
      </c>
      <c r="N94" s="52">
        <f t="shared" ca="1" si="27"/>
        <v>888.12960420963361</v>
      </c>
      <c r="O94" s="49">
        <f t="shared" ca="1" si="23"/>
        <v>0.14949031345361261</v>
      </c>
      <c r="P94" s="49">
        <f t="shared" ca="1" si="24"/>
        <v>887.98011389618</v>
      </c>
      <c r="Q94" s="64">
        <v>869.91</v>
      </c>
      <c r="R94" s="49">
        <f t="shared" ca="1" si="25"/>
        <v>18.070113896180032</v>
      </c>
      <c r="S94" s="49">
        <f t="shared" si="26"/>
        <v>23.880000000000109</v>
      </c>
      <c r="T94" s="65" t="str">
        <f t="shared" si="20"/>
        <v/>
      </c>
    </row>
    <row r="95" spans="1:20" ht="15.95" customHeight="1" x14ac:dyDescent="0.2">
      <c r="A95" s="81">
        <v>89</v>
      </c>
      <c r="B95" s="79">
        <v>51</v>
      </c>
      <c r="C95" s="74" t="s">
        <v>49</v>
      </c>
      <c r="D95" s="80" cm="1">
        <f t="array" ref="D95">_xlfn.IFS(C95=Auxiliar!$A$15,B95,C95=Auxiliar!$A$16,B95/2,Dimensionamento!C95=Auxiliar!$A$17,0)</f>
        <v>0</v>
      </c>
      <c r="E95" s="87">
        <v>123</v>
      </c>
      <c r="F95" s="74" t="s">
        <v>51</v>
      </c>
      <c r="G95" s="49">
        <f t="shared" si="18"/>
        <v>2.0645447502573946</v>
      </c>
      <c r="H95" s="49">
        <f t="shared" si="17"/>
        <v>0</v>
      </c>
      <c r="I95" s="51">
        <f t="shared" si="21"/>
        <v>2.0645447502573946</v>
      </c>
      <c r="J95" s="49">
        <f t="shared" si="22"/>
        <v>2.0645447502573946</v>
      </c>
      <c r="K95" s="50">
        <f ca="1">IFERROR(IF(OFFSET(Auxiliar!$A$1,MATCH(J95,IF($L$2="F.F.",Auxiliar!$C$1:$C$12,Auxiliar!$B$1:$B$12),1),0)&gt;$H$3,OFFSET(Auxiliar!$A$1,MATCH(J95,IF($L$2="F.F.",Auxiliar!$C$1:$C$12,Auxiliar!$B$1:$B$12),1),0),$H$3),$H$3)</f>
        <v>75</v>
      </c>
      <c r="L95" s="48">
        <f t="shared" ca="1" si="19"/>
        <v>0.46731733651610585</v>
      </c>
      <c r="M95" s="66">
        <f t="shared" ca="1" si="28"/>
        <v>3.6942151170546141E-3</v>
      </c>
      <c r="N95" s="52">
        <f t="shared" ca="1" si="27"/>
        <v>888.12960420963361</v>
      </c>
      <c r="O95" s="49">
        <f t="shared" ca="1" si="23"/>
        <v>0.18840497096978531</v>
      </c>
      <c r="P95" s="49">
        <f t="shared" ca="1" si="24"/>
        <v>887.94119923866378</v>
      </c>
      <c r="Q95" s="64">
        <v>869.33</v>
      </c>
      <c r="R95" s="49">
        <f t="shared" ca="1" si="25"/>
        <v>18.611199238663744</v>
      </c>
      <c r="S95" s="49">
        <f t="shared" si="26"/>
        <v>24.460000000000036</v>
      </c>
      <c r="T95" s="65" t="str">
        <f t="shared" si="20"/>
        <v/>
      </c>
    </row>
    <row r="96" spans="1:20" ht="15.95" customHeight="1" x14ac:dyDescent="0.2">
      <c r="A96" s="81">
        <v>90</v>
      </c>
      <c r="B96" s="79">
        <v>96.254999999999995</v>
      </c>
      <c r="C96" s="74" t="s">
        <v>52</v>
      </c>
      <c r="D96" s="80" cm="1">
        <f t="array" ref="D96">_xlfn.IFS(C96=Auxiliar!$A$15,B96,C96=Auxiliar!$A$16,B96/2,Dimensionamento!C96=Auxiliar!$A$17,0)</f>
        <v>96.254999999999995</v>
      </c>
      <c r="E96" s="87">
        <v>89</v>
      </c>
      <c r="F96" s="74" t="s">
        <v>51</v>
      </c>
      <c r="G96" s="49">
        <f t="shared" si="18"/>
        <v>0.82689398896284305</v>
      </c>
      <c r="H96" s="49">
        <f t="shared" si="17"/>
        <v>0.3404961643927123</v>
      </c>
      <c r="I96" s="51">
        <f t="shared" si="21"/>
        <v>0.48639782457013081</v>
      </c>
      <c r="J96" s="49">
        <f t="shared" si="22"/>
        <v>0.65664590676648693</v>
      </c>
      <c r="K96" s="50">
        <f ca="1">IFERROR(IF(OFFSET(Auxiliar!$A$1,MATCH(J96,IF($L$2="F.F.",Auxiliar!$C$1:$C$12,Auxiliar!$B$1:$B$12),1),0)&gt;$H$3,OFFSET(Auxiliar!$A$1,MATCH(J96,IF($L$2="F.F.",Auxiliar!$C$1:$C$12,Auxiliar!$B$1:$B$12),1),0),$H$3),$H$3)</f>
        <v>50</v>
      </c>
      <c r="L96" s="48">
        <f t="shared" ca="1" si="19"/>
        <v>0.33442701415342801</v>
      </c>
      <c r="M96" s="66">
        <f t="shared" ca="1" si="28"/>
        <v>3.196866146782433E-3</v>
      </c>
      <c r="N96" s="52">
        <f t="shared" ca="1" si="27"/>
        <v>887.94119923866378</v>
      </c>
      <c r="O96" s="49">
        <f t="shared" ca="1" si="23"/>
        <v>0.3077143509585431</v>
      </c>
      <c r="P96" s="49">
        <f t="shared" ca="1" si="24"/>
        <v>887.63348488770521</v>
      </c>
      <c r="Q96" s="64">
        <v>867.09</v>
      </c>
      <c r="R96" s="49">
        <f t="shared" ca="1" si="25"/>
        <v>20.543484887705176</v>
      </c>
      <c r="S96" s="49">
        <f t="shared" si="26"/>
        <v>26.700000000000045</v>
      </c>
      <c r="T96" s="65" t="str">
        <f t="shared" si="20"/>
        <v/>
      </c>
    </row>
    <row r="97" spans="1:20" ht="15.95" customHeight="1" x14ac:dyDescent="0.2">
      <c r="A97" s="81">
        <v>91</v>
      </c>
      <c r="B97" s="79">
        <v>51</v>
      </c>
      <c r="C97" s="74" t="s">
        <v>49</v>
      </c>
      <c r="D97" s="80" cm="1">
        <f t="array" ref="D97">_xlfn.IFS(C97=Auxiliar!$A$15,B97,C97=Auxiliar!$A$16,B97/2,Dimensionamento!C97=Auxiliar!$A$17,0)</f>
        <v>0</v>
      </c>
      <c r="E97" s="87">
        <v>89</v>
      </c>
      <c r="F97" s="74" t="s">
        <v>51</v>
      </c>
      <c r="G97" s="49">
        <f t="shared" si="18"/>
        <v>1.2376507612945513</v>
      </c>
      <c r="H97" s="49">
        <f t="shared" si="17"/>
        <v>0</v>
      </c>
      <c r="I97" s="51">
        <f t="shared" si="21"/>
        <v>1.2376507612945513</v>
      </c>
      <c r="J97" s="49">
        <f t="shared" si="22"/>
        <v>1.2376507612945513</v>
      </c>
      <c r="K97" s="50">
        <f ca="1">IFERROR(IF(OFFSET(Auxiliar!$A$1,MATCH(J97,IF($L$2="F.F.",Auxiliar!$C$1:$C$12,Auxiliar!$B$1:$B$12),1),0)&gt;$H$3,OFFSET(Auxiliar!$A$1,MATCH(J97,IF($L$2="F.F.",Auxiliar!$C$1:$C$12,Auxiliar!$B$1:$B$12),1),0),$H$3),$H$3)</f>
        <v>75</v>
      </c>
      <c r="L97" s="48">
        <f t="shared" ca="1" si="19"/>
        <v>0.28014682521809814</v>
      </c>
      <c r="M97" s="66">
        <f t="shared" ca="1" si="28"/>
        <v>1.4335199261802289E-3</v>
      </c>
      <c r="N97" s="52">
        <f t="shared" ca="1" si="27"/>
        <v>887.94119923866378</v>
      </c>
      <c r="O97" s="49">
        <f t="shared" ca="1" si="23"/>
        <v>7.3109516235191671E-2</v>
      </c>
      <c r="P97" s="49">
        <f t="shared" ca="1" si="24"/>
        <v>887.86808972242864</v>
      </c>
      <c r="Q97" s="64">
        <v>866.27</v>
      </c>
      <c r="R97" s="49">
        <f t="shared" ca="1" si="25"/>
        <v>21.598089722428654</v>
      </c>
      <c r="S97" s="49">
        <f t="shared" si="26"/>
        <v>27.520000000000095</v>
      </c>
      <c r="T97" s="65" t="str">
        <f t="shared" si="20"/>
        <v/>
      </c>
    </row>
    <row r="98" spans="1:20" ht="15.95" customHeight="1" x14ac:dyDescent="0.2">
      <c r="A98" s="81">
        <v>92</v>
      </c>
      <c r="B98" s="79">
        <v>96.254999999999995</v>
      </c>
      <c r="C98" s="74" t="s">
        <v>52</v>
      </c>
      <c r="D98" s="80" cm="1">
        <f t="array" ref="D98">_xlfn.IFS(C98=Auxiliar!$A$15,B98,C98=Auxiliar!$A$16,B98/2,Dimensionamento!C98=Auxiliar!$A$17,0)</f>
        <v>96.254999999999995</v>
      </c>
      <c r="E98" s="87">
        <v>91</v>
      </c>
      <c r="F98" s="74" t="s">
        <v>51</v>
      </c>
      <c r="G98" s="49">
        <f t="shared" si="18"/>
        <v>0.79414791869341983</v>
      </c>
      <c r="H98" s="49">
        <f t="shared" si="17"/>
        <v>0.3404961643927123</v>
      </c>
      <c r="I98" s="51">
        <f t="shared" si="21"/>
        <v>0.45365175430070753</v>
      </c>
      <c r="J98" s="49">
        <f t="shared" si="22"/>
        <v>0.62389983649706371</v>
      </c>
      <c r="K98" s="50">
        <f ca="1">IFERROR(IF(OFFSET(Auxiliar!$A$1,MATCH(J98,IF($L$2="F.F.",Auxiliar!$C$1:$C$12,Auxiliar!$B$1:$B$12),1),0)&gt;$H$3,OFFSET(Auxiliar!$A$1,MATCH(J98,IF($L$2="F.F.",Auxiliar!$C$1:$C$12,Auxiliar!$B$1:$B$12),1),0),$H$3),$H$3)</f>
        <v>50</v>
      </c>
      <c r="L98" s="48">
        <f t="shared" ca="1" si="19"/>
        <v>0.31774957751274552</v>
      </c>
      <c r="M98" s="66">
        <f t="shared" ca="1" si="28"/>
        <v>2.9081993224919279E-3</v>
      </c>
      <c r="N98" s="52">
        <f t="shared" ca="1" si="27"/>
        <v>887.86808972242864</v>
      </c>
      <c r="O98" s="49">
        <f t="shared" ca="1" si="23"/>
        <v>0.2799287257864605</v>
      </c>
      <c r="P98" s="49">
        <f t="shared" ca="1" si="24"/>
        <v>887.58816099664216</v>
      </c>
      <c r="Q98" s="64">
        <v>865.36</v>
      </c>
      <c r="R98" s="49">
        <f t="shared" ca="1" si="25"/>
        <v>22.228160996642146</v>
      </c>
      <c r="S98" s="49">
        <f t="shared" si="26"/>
        <v>28.430000000000064</v>
      </c>
      <c r="T98" s="65" t="str">
        <f t="shared" si="20"/>
        <v/>
      </c>
    </row>
    <row r="99" spans="1:20" ht="15.95" customHeight="1" x14ac:dyDescent="0.2">
      <c r="A99" s="81">
        <v>93</v>
      </c>
      <c r="B99" s="79">
        <v>52.5</v>
      </c>
      <c r="C99" s="74" t="s">
        <v>51</v>
      </c>
      <c r="D99" s="80" cm="1">
        <f t="array" ref="D99">_xlfn.IFS(C99=Auxiliar!$A$15,B99,C99=Auxiliar!$A$16,B99/2,Dimensionamento!C99=Auxiliar!$A$17,0)</f>
        <v>26.25</v>
      </c>
      <c r="E99" s="87">
        <v>91</v>
      </c>
      <c r="F99" s="74" t="s">
        <v>51</v>
      </c>
      <c r="G99" s="49">
        <f t="shared" si="18"/>
        <v>0.44350284260113149</v>
      </c>
      <c r="H99" s="49">
        <f t="shared" ref="H99:H129" si="29">D99*$L$5</f>
        <v>9.2857766508843156E-2</v>
      </c>
      <c r="I99" s="51">
        <f t="shared" si="21"/>
        <v>0.35064507609228834</v>
      </c>
      <c r="J99" s="49">
        <f t="shared" si="22"/>
        <v>0.6</v>
      </c>
      <c r="K99" s="50">
        <f ca="1">IFERROR(IF(OFFSET(Auxiliar!$A$1,MATCH(J99,IF($L$2="F.F.",Auxiliar!$C$1:$C$12,Auxiliar!$B$1:$B$12),1),0)&gt;$H$3,OFFSET(Auxiliar!$A$1,MATCH(J99,IF($L$2="F.F.",Auxiliar!$C$1:$C$12,Auxiliar!$B$1:$B$12),1),0),$H$3),$H$3)</f>
        <v>50</v>
      </c>
      <c r="L99" s="48">
        <f t="shared" ca="1" si="19"/>
        <v>0.30557749073643903</v>
      </c>
      <c r="M99" s="66">
        <f t="shared" ca="1" si="28"/>
        <v>2.7054621926271396E-3</v>
      </c>
      <c r="N99" s="52">
        <f t="shared" ca="1" si="27"/>
        <v>887.86808972242864</v>
      </c>
      <c r="O99" s="49">
        <f t="shared" ca="1" si="23"/>
        <v>0.14203676511292482</v>
      </c>
      <c r="P99" s="49">
        <f t="shared" ca="1" si="24"/>
        <v>887.72605295731569</v>
      </c>
      <c r="Q99" s="64">
        <v>864.52</v>
      </c>
      <c r="R99" s="49">
        <f t="shared" ca="1" si="25"/>
        <v>23.206052957315705</v>
      </c>
      <c r="S99" s="49">
        <f t="shared" si="26"/>
        <v>29.270000000000095</v>
      </c>
      <c r="T99" s="65" t="str">
        <f t="shared" si="20"/>
        <v/>
      </c>
    </row>
    <row r="100" spans="1:20" ht="15.95" customHeight="1" x14ac:dyDescent="0.2">
      <c r="A100" s="81">
        <v>94</v>
      </c>
      <c r="B100" s="79">
        <v>198.24799999999999</v>
      </c>
      <c r="C100" s="74" t="s">
        <v>51</v>
      </c>
      <c r="D100" s="80" cm="1">
        <f t="array" ref="D100">_xlfn.IFS(C100=Auxiliar!$A$15,B100,C100=Auxiliar!$A$16,B100/2,Dimensionamento!C100=Auxiliar!$A$17,0)</f>
        <v>99.123999999999995</v>
      </c>
      <c r="E100" s="87">
        <v>93</v>
      </c>
      <c r="F100" s="74" t="s">
        <v>52</v>
      </c>
      <c r="G100" s="49">
        <f t="shared" si="18"/>
        <v>0.35064507609228834</v>
      </c>
      <c r="H100" s="49">
        <f t="shared" si="29"/>
        <v>0.35064507609228834</v>
      </c>
      <c r="I100" s="51">
        <f t="shared" si="21"/>
        <v>0</v>
      </c>
      <c r="J100" s="49">
        <f t="shared" si="22"/>
        <v>0.6</v>
      </c>
      <c r="K100" s="50">
        <f ca="1">IFERROR(IF(OFFSET(Auxiliar!$A$1,MATCH(J100,IF($L$2="F.F.",Auxiliar!$C$1:$C$12,Auxiliar!$B$1:$B$12),1),0)&gt;$H$3,OFFSET(Auxiliar!$A$1,MATCH(J100,IF($L$2="F.F.",Auxiliar!$C$1:$C$12,Auxiliar!$B$1:$B$12),1),0),$H$3),$H$3)</f>
        <v>50</v>
      </c>
      <c r="L100" s="48">
        <f t="shared" ca="1" si="19"/>
        <v>0.30557749073643903</v>
      </c>
      <c r="M100" s="66">
        <f t="shared" ca="1" si="28"/>
        <v>2.7054621926271396E-3</v>
      </c>
      <c r="N100" s="52">
        <f t="shared" ca="1" si="27"/>
        <v>887.72605295731569</v>
      </c>
      <c r="O100" s="49">
        <f t="shared" ca="1" si="23"/>
        <v>0.53635246876394516</v>
      </c>
      <c r="P100" s="49">
        <f t="shared" ca="1" si="24"/>
        <v>887.18970048855169</v>
      </c>
      <c r="Q100" s="64">
        <v>862.86</v>
      </c>
      <c r="R100" s="49">
        <f t="shared" ca="1" si="25"/>
        <v>24.32970048855168</v>
      </c>
      <c r="S100" s="49">
        <f t="shared" si="26"/>
        <v>30.930000000000064</v>
      </c>
      <c r="T100" s="65" t="str">
        <f t="shared" si="20"/>
        <v>Pressão Máx.</v>
      </c>
    </row>
    <row r="101" spans="1:20" ht="15.95" customHeight="1" x14ac:dyDescent="0.2">
      <c r="A101" s="81">
        <v>95</v>
      </c>
      <c r="B101" s="79">
        <v>112</v>
      </c>
      <c r="C101" s="74" t="s">
        <v>52</v>
      </c>
      <c r="D101" s="80" cm="1">
        <f t="array" ref="D101">_xlfn.IFS(C101=Auxiliar!$A$15,B101,C101=Auxiliar!$A$16,B101/2,Dimensionamento!C101=Auxiliar!$A$17,0)</f>
        <v>112</v>
      </c>
      <c r="E101" s="87">
        <v>90</v>
      </c>
      <c r="F101" s="74" t="s">
        <v>52</v>
      </c>
      <c r="G101" s="49">
        <f t="shared" si="18"/>
        <v>0.39619313710439746</v>
      </c>
      <c r="H101" s="49">
        <f t="shared" si="29"/>
        <v>0.39619313710439746</v>
      </c>
      <c r="I101" s="51">
        <f t="shared" si="21"/>
        <v>0</v>
      </c>
      <c r="J101" s="49">
        <f t="shared" si="22"/>
        <v>0.6</v>
      </c>
      <c r="K101" s="50">
        <f ca="1">IFERROR(IF(OFFSET(Auxiliar!$A$1,MATCH(J101,IF($L$2="F.F.",Auxiliar!$C$1:$C$12,Auxiliar!$B$1:$B$12),1),0)&gt;$H$3,OFFSET(Auxiliar!$A$1,MATCH(J101,IF($L$2="F.F.",Auxiliar!$C$1:$C$12,Auxiliar!$B$1:$B$12),1),0),$H$3),$H$3)</f>
        <v>50</v>
      </c>
      <c r="L101" s="48">
        <f t="shared" ca="1" si="19"/>
        <v>0.30557749073643903</v>
      </c>
      <c r="M101" s="66">
        <f t="shared" ca="1" si="28"/>
        <v>2.7054621926271396E-3</v>
      </c>
      <c r="N101" s="52">
        <f t="shared" ca="1" si="27"/>
        <v>887.63348488770521</v>
      </c>
      <c r="O101" s="49">
        <f t="shared" ca="1" si="23"/>
        <v>0.30301176557423964</v>
      </c>
      <c r="P101" s="49">
        <f t="shared" ca="1" si="24"/>
        <v>887.33047312213102</v>
      </c>
      <c r="Q101" s="64">
        <v>864.49</v>
      </c>
      <c r="R101" s="49">
        <f t="shared" ca="1" si="25"/>
        <v>22.840473122131016</v>
      </c>
      <c r="S101" s="49">
        <f t="shared" si="26"/>
        <v>29.300000000000068</v>
      </c>
      <c r="T101" s="65" t="str">
        <f t="shared" si="20"/>
        <v/>
      </c>
    </row>
    <row r="102" spans="1:20" ht="15.95" customHeight="1" x14ac:dyDescent="0.2">
      <c r="A102" s="81">
        <v>96</v>
      </c>
      <c r="B102" s="79">
        <v>51</v>
      </c>
      <c r="C102" s="74" t="s">
        <v>51</v>
      </c>
      <c r="D102" s="80" cm="1">
        <f t="array" ref="D102">_xlfn.IFS(C102=Auxiliar!$A$15,B102,C102=Auxiliar!$A$16,B102/2,Dimensionamento!C102=Auxiliar!$A$17,0)</f>
        <v>25.5</v>
      </c>
      <c r="E102" s="87">
        <v>90</v>
      </c>
      <c r="F102" s="74" t="s">
        <v>52</v>
      </c>
      <c r="G102" s="49">
        <f t="shared" si="18"/>
        <v>9.0204687465733346E-2</v>
      </c>
      <c r="H102" s="49">
        <f t="shared" si="29"/>
        <v>9.0204687465733346E-2</v>
      </c>
      <c r="I102" s="51">
        <f t="shared" si="21"/>
        <v>0</v>
      </c>
      <c r="J102" s="49">
        <f t="shared" si="22"/>
        <v>0.6</v>
      </c>
      <c r="K102" s="50">
        <f ca="1">IFERROR(IF(OFFSET(Auxiliar!$A$1,MATCH(J102,IF($L$2="F.F.",Auxiliar!$C$1:$C$12,Auxiliar!$B$1:$B$12),1),0)&gt;$H$3,OFFSET(Auxiliar!$A$1,MATCH(J102,IF($L$2="F.F.",Auxiliar!$C$1:$C$12,Auxiliar!$B$1:$B$12),1),0),$H$3),$H$3)</f>
        <v>50</v>
      </c>
      <c r="L102" s="48">
        <f t="shared" ca="1" si="19"/>
        <v>0.30557749073643903</v>
      </c>
      <c r="M102" s="66">
        <f t="shared" ca="1" si="28"/>
        <v>2.7054621926271396E-3</v>
      </c>
      <c r="N102" s="52">
        <f t="shared" ca="1" si="27"/>
        <v>887.63348488770521</v>
      </c>
      <c r="O102" s="49">
        <f t="shared" ca="1" si="23"/>
        <v>0.13797857182398413</v>
      </c>
      <c r="P102" s="49">
        <f t="shared" ca="1" si="24"/>
        <v>887.49550631588124</v>
      </c>
      <c r="Q102" s="64">
        <v>865.36</v>
      </c>
      <c r="R102" s="49">
        <f t="shared" ca="1" si="25"/>
        <v>22.13550631588123</v>
      </c>
      <c r="S102" s="49">
        <f t="shared" si="26"/>
        <v>28.430000000000064</v>
      </c>
      <c r="T102" s="65" t="str">
        <f t="shared" si="20"/>
        <v/>
      </c>
    </row>
    <row r="103" spans="1:20" ht="15.95" customHeight="1" x14ac:dyDescent="0.2">
      <c r="A103" s="81">
        <v>97</v>
      </c>
      <c r="B103" s="79">
        <v>101.99299999999999</v>
      </c>
      <c r="C103" s="74" t="s">
        <v>52</v>
      </c>
      <c r="D103" s="80" cm="1">
        <f t="array" ref="D103">_xlfn.IFS(C103=Auxiliar!$A$15,B103,C103=Auxiliar!$A$16,B103/2,Dimensionamento!C103=Auxiliar!$A$17,0)</f>
        <v>101.99299999999999</v>
      </c>
      <c r="E103" s="87">
        <v>92</v>
      </c>
      <c r="F103" s="74" t="s">
        <v>51</v>
      </c>
      <c r="G103" s="49">
        <f t="shared" ref="G103:G129" si="30">H103+I103</f>
        <v>0.45365175430070753</v>
      </c>
      <c r="H103" s="49">
        <f t="shared" si="29"/>
        <v>0.36079398779186439</v>
      </c>
      <c r="I103" s="51">
        <f t="shared" si="21"/>
        <v>9.2857766508843156E-2</v>
      </c>
      <c r="J103" s="49">
        <f t="shared" si="22"/>
        <v>0.6</v>
      </c>
      <c r="K103" s="50">
        <f ca="1">IFERROR(IF(OFFSET(Auxiliar!$A$1,MATCH(J103,IF($L$2="F.F.",Auxiliar!$C$1:$C$12,Auxiliar!$B$1:$B$12),1),0)&gt;$H$3,OFFSET(Auxiliar!$A$1,MATCH(J103,IF($L$2="F.F.",Auxiliar!$C$1:$C$12,Auxiliar!$B$1:$B$12),1),0),$H$3),$H$3)</f>
        <v>50</v>
      </c>
      <c r="L103" s="48">
        <f t="shared" ca="1" si="19"/>
        <v>0.30557749073643903</v>
      </c>
      <c r="M103" s="66">
        <f t="shared" ca="1" si="28"/>
        <v>2.7054621926271396E-3</v>
      </c>
      <c r="N103" s="52">
        <f t="shared" ca="1" si="27"/>
        <v>887.58816099664216</v>
      </c>
      <c r="O103" s="49">
        <f t="shared" ca="1" si="23"/>
        <v>0.27593820541261982</v>
      </c>
      <c r="P103" s="49">
        <f t="shared" ca="1" si="24"/>
        <v>887.31222279122949</v>
      </c>
      <c r="Q103" s="64">
        <v>863.82</v>
      </c>
      <c r="R103" s="49">
        <f t="shared" ca="1" si="25"/>
        <v>23.492222791229437</v>
      </c>
      <c r="S103" s="49">
        <f t="shared" si="26"/>
        <v>29.970000000000027</v>
      </c>
      <c r="T103" s="65" t="str">
        <f t="shared" ref="T103:T128" si="31">IF(S103=LARGE($S$7:$S$126,1),"Pressão Máx.",IF(S103=SMALL($S$7:$S$126,1),"Pressão Mín",""))</f>
        <v/>
      </c>
    </row>
    <row r="104" spans="1:20" ht="15.95" customHeight="1" x14ac:dyDescent="0.2">
      <c r="A104" s="81">
        <v>98</v>
      </c>
      <c r="B104" s="79">
        <v>52.5</v>
      </c>
      <c r="C104" s="74" t="s">
        <v>51</v>
      </c>
      <c r="D104" s="80" cm="1">
        <f t="array" ref="D104">_xlfn.IFS(C104=Auxiliar!$A$15,B104,C104=Auxiliar!$A$16,B104/2,Dimensionamento!C104=Auxiliar!$A$17,0)</f>
        <v>26.25</v>
      </c>
      <c r="E104" s="87">
        <v>97</v>
      </c>
      <c r="F104" s="74" t="s">
        <v>52</v>
      </c>
      <c r="G104" s="49">
        <f t="shared" si="30"/>
        <v>9.2857766508843156E-2</v>
      </c>
      <c r="H104" s="49">
        <f t="shared" si="29"/>
        <v>9.2857766508843156E-2</v>
      </c>
      <c r="I104" s="51">
        <f t="shared" si="21"/>
        <v>0</v>
      </c>
      <c r="J104" s="49">
        <f t="shared" si="22"/>
        <v>0.6</v>
      </c>
      <c r="K104" s="50">
        <f ca="1">IFERROR(IF(OFFSET(Auxiliar!$A$1,MATCH(J104,IF($L$2="F.F.",Auxiliar!$C$1:$C$12,Auxiliar!$B$1:$B$12),1),0)&gt;$H$3,OFFSET(Auxiliar!$A$1,MATCH(J104,IF($L$2="F.F.",Auxiliar!$C$1:$C$12,Auxiliar!$B$1:$B$12),1),0),$H$3),$H$3)</f>
        <v>50</v>
      </c>
      <c r="L104" s="48">
        <f t="shared" ca="1" si="19"/>
        <v>0.30557749073643903</v>
      </c>
      <c r="M104" s="66">
        <f t="shared" ca="1" si="28"/>
        <v>2.7054621926271396E-3</v>
      </c>
      <c r="N104" s="52">
        <f t="shared" ca="1" si="27"/>
        <v>887.31222279122949</v>
      </c>
      <c r="O104" s="49">
        <f t="shared" ca="1" si="23"/>
        <v>0.14203676511292482</v>
      </c>
      <c r="P104" s="49">
        <f t="shared" ca="1" si="24"/>
        <v>887.17018602611654</v>
      </c>
      <c r="Q104" s="64">
        <v>862.86</v>
      </c>
      <c r="R104" s="49">
        <f t="shared" ca="1" si="25"/>
        <v>24.310186026116526</v>
      </c>
      <c r="S104" s="49">
        <f t="shared" si="26"/>
        <v>30.930000000000064</v>
      </c>
      <c r="T104" s="65" t="str">
        <f t="shared" si="31"/>
        <v>Pressão Máx.</v>
      </c>
    </row>
    <row r="105" spans="1:20" ht="15.95" customHeight="1" x14ac:dyDescent="0.2">
      <c r="A105" s="81">
        <v>99</v>
      </c>
      <c r="B105" s="79">
        <v>55.255000000000003</v>
      </c>
      <c r="C105" s="74" t="s">
        <v>51</v>
      </c>
      <c r="D105" s="80" cm="1">
        <f t="array" ref="D105">_xlfn.IFS(C105=Auxiliar!$A$15,B105,C105=Auxiliar!$A$16,B105/2,Dimensionamento!C105=Auxiliar!$A$17,0)</f>
        <v>27.627500000000001</v>
      </c>
      <c r="E105" s="87">
        <v>84</v>
      </c>
      <c r="F105" s="74" t="s">
        <v>51</v>
      </c>
      <c r="G105" s="49">
        <f t="shared" si="30"/>
        <v>1.5206830023328675</v>
      </c>
      <c r="H105" s="49">
        <f t="shared" si="29"/>
        <v>9.7730588351354841E-2</v>
      </c>
      <c r="I105" s="51">
        <f t="shared" si="21"/>
        <v>1.4229524139815126</v>
      </c>
      <c r="J105" s="49">
        <f t="shared" si="22"/>
        <v>1.4718177081571899</v>
      </c>
      <c r="K105" s="50">
        <f ca="1">IFERROR(IF(OFFSET(Auxiliar!$A$1,MATCH(J105,IF($L$2="F.F.",Auxiliar!$C$1:$C$12,Auxiliar!$B$1:$B$12),1),0)&gt;$H$3,OFFSET(Auxiliar!$A$1,MATCH(J105,IF($L$2="F.F.",Auxiliar!$C$1:$C$12,Auxiliar!$B$1:$B$12),1),0),$H$3),$H$3)</f>
        <v>75</v>
      </c>
      <c r="L105" s="48">
        <f t="shared" ca="1" si="19"/>
        <v>0.33315137931861527</v>
      </c>
      <c r="M105" s="66">
        <f t="shared" ca="1" si="28"/>
        <v>1.9752731871593623E-3</v>
      </c>
      <c r="N105" s="52">
        <f t="shared" ca="1" si="27"/>
        <v>888.97469321870574</v>
      </c>
      <c r="O105" s="49">
        <f t="shared" ca="1" si="23"/>
        <v>0.10914371995649057</v>
      </c>
      <c r="P105" s="49">
        <f t="shared" ca="1" si="24"/>
        <v>888.86554949874926</v>
      </c>
      <c r="Q105" s="64">
        <v>871.65</v>
      </c>
      <c r="R105" s="49">
        <f t="shared" ca="1" si="25"/>
        <v>17.215549498749283</v>
      </c>
      <c r="S105" s="49">
        <f t="shared" si="26"/>
        <v>22.1400000000001</v>
      </c>
      <c r="T105" s="65" t="str">
        <f t="shared" si="31"/>
        <v/>
      </c>
    </row>
    <row r="106" spans="1:20" ht="15.95" customHeight="1" x14ac:dyDescent="0.2">
      <c r="A106" s="81">
        <v>100</v>
      </c>
      <c r="B106" s="79">
        <v>75.17</v>
      </c>
      <c r="C106" s="74" t="s">
        <v>52</v>
      </c>
      <c r="D106" s="80" cm="1">
        <f t="array" ref="D106">_xlfn.IFS(C106=Auxiliar!$A$15,B106,C106=Auxiliar!$A$16,B106/2,Dimensionamento!C106=Auxiliar!$A$17,0)</f>
        <v>75.17</v>
      </c>
      <c r="E106" s="87">
        <v>99</v>
      </c>
      <c r="F106" s="74" t="s">
        <v>51</v>
      </c>
      <c r="G106" s="49">
        <f t="shared" si="30"/>
        <v>0.98400932989580592</v>
      </c>
      <c r="H106" s="49">
        <f t="shared" si="29"/>
        <v>0.26590926889408534</v>
      </c>
      <c r="I106" s="51">
        <f t="shared" si="21"/>
        <v>0.71810006100172052</v>
      </c>
      <c r="J106" s="49">
        <f t="shared" si="22"/>
        <v>0.85105469544876322</v>
      </c>
      <c r="K106" s="50">
        <f ca="1">IFERROR(IF(OFFSET(Auxiliar!$A$1,MATCH(J106,IF($L$2="F.F.",Auxiliar!$C$1:$C$12,Auxiliar!$B$1:$B$12),1),0)&gt;$H$3,OFFSET(Auxiliar!$A$1,MATCH(J106,IF($L$2="F.F.",Auxiliar!$C$1:$C$12,Auxiliar!$B$1:$B$12),1),0),$H$3),$H$3)</f>
        <v>50</v>
      </c>
      <c r="L106" s="48">
        <f t="shared" ca="1" si="19"/>
        <v>0.43343859719116234</v>
      </c>
      <c r="M106" s="66">
        <f t="shared" ca="1" si="28"/>
        <v>5.1651504906977215E-3</v>
      </c>
      <c r="N106" s="52">
        <f t="shared" ca="1" si="27"/>
        <v>888.86554949874926</v>
      </c>
      <c r="O106" s="49">
        <f t="shared" ca="1" si="23"/>
        <v>0.38826436238574774</v>
      </c>
      <c r="P106" s="49">
        <f t="shared" ca="1" si="24"/>
        <v>888.47728513636355</v>
      </c>
      <c r="Q106" s="64">
        <v>871.15</v>
      </c>
      <c r="R106" s="49">
        <f t="shared" ca="1" si="25"/>
        <v>17.327285136363571</v>
      </c>
      <c r="S106" s="49">
        <f t="shared" si="26"/>
        <v>22.6400000000001</v>
      </c>
      <c r="T106" s="65" t="str">
        <f t="shared" si="31"/>
        <v/>
      </c>
    </row>
    <row r="107" spans="1:20" ht="15.95" customHeight="1" x14ac:dyDescent="0.2">
      <c r="A107" s="81">
        <v>101</v>
      </c>
      <c r="B107" s="79">
        <v>81</v>
      </c>
      <c r="C107" s="74" t="s">
        <v>52</v>
      </c>
      <c r="D107" s="80" cm="1">
        <f t="array" ref="D107">_xlfn.IFS(C107=Auxiliar!$A$15,B107,C107=Auxiliar!$A$16,B107/2,Dimensionamento!C107=Auxiliar!$A$17,0)</f>
        <v>81</v>
      </c>
      <c r="E107" s="87">
        <v>100</v>
      </c>
      <c r="F107" s="74" t="s">
        <v>51</v>
      </c>
      <c r="G107" s="49">
        <f t="shared" si="30"/>
        <v>0.5023162988287897</v>
      </c>
      <c r="H107" s="49">
        <f t="shared" si="29"/>
        <v>0.28653253665585887</v>
      </c>
      <c r="I107" s="51">
        <f t="shared" si="21"/>
        <v>0.21578376217293077</v>
      </c>
      <c r="J107" s="49">
        <f t="shared" si="22"/>
        <v>0.6</v>
      </c>
      <c r="K107" s="50">
        <f ca="1">IFERROR(IF(OFFSET(Auxiliar!$A$1,MATCH(J107,IF($L$2="F.F.",Auxiliar!$C$1:$C$12,Auxiliar!$B$1:$B$12),1),0)&gt;$H$3,OFFSET(Auxiliar!$A$1,MATCH(J107,IF($L$2="F.F.",Auxiliar!$C$1:$C$12,Auxiliar!$B$1:$B$12),1),0),$H$3),$H$3)</f>
        <v>50</v>
      </c>
      <c r="L107" s="48">
        <f t="shared" ca="1" si="19"/>
        <v>0.30557749073643903</v>
      </c>
      <c r="M107" s="66">
        <f t="shared" ca="1" si="28"/>
        <v>2.7054621926271396E-3</v>
      </c>
      <c r="N107" s="52">
        <f t="shared" ca="1" si="27"/>
        <v>888.47728513636355</v>
      </c>
      <c r="O107" s="49">
        <f t="shared" ca="1" si="23"/>
        <v>0.21914243760279831</v>
      </c>
      <c r="P107" s="49">
        <f t="shared" ca="1" si="24"/>
        <v>888.25814269876071</v>
      </c>
      <c r="Q107" s="64">
        <v>869.91</v>
      </c>
      <c r="R107" s="49">
        <f t="shared" ca="1" si="25"/>
        <v>18.348142698760739</v>
      </c>
      <c r="S107" s="49">
        <f t="shared" si="26"/>
        <v>23.880000000000109</v>
      </c>
      <c r="T107" s="65" t="str">
        <f t="shared" si="31"/>
        <v/>
      </c>
    </row>
    <row r="108" spans="1:20" ht="15.95" customHeight="1" x14ac:dyDescent="0.2">
      <c r="A108" s="81">
        <v>102</v>
      </c>
      <c r="B108" s="79">
        <v>61</v>
      </c>
      <c r="C108" s="63" t="s">
        <v>52</v>
      </c>
      <c r="D108" s="80" cm="1">
        <f t="array" ref="D108">_xlfn.IFS(C108=Auxiliar!$A$15,B108,C108=Auxiliar!$A$16,B108/2,Dimensionamento!C108=Auxiliar!$A$17,0)</f>
        <v>61</v>
      </c>
      <c r="E108" s="87">
        <v>100</v>
      </c>
      <c r="F108" s="74" t="s">
        <v>52</v>
      </c>
      <c r="G108" s="49">
        <f t="shared" si="30"/>
        <v>0.21578376217293077</v>
      </c>
      <c r="H108" s="49">
        <f t="shared" si="29"/>
        <v>0.21578376217293077</v>
      </c>
      <c r="I108" s="51">
        <f t="shared" si="21"/>
        <v>0</v>
      </c>
      <c r="J108" s="49">
        <f t="shared" si="22"/>
        <v>0.6</v>
      </c>
      <c r="K108" s="50">
        <f ca="1">IFERROR(IF(OFFSET(Auxiliar!$A$1,MATCH(J108,IF($L$2="F.F.",Auxiliar!$C$1:$C$12,Auxiliar!$B$1:$B$12),1),0)&gt;$H$3,OFFSET(Auxiliar!$A$1,MATCH(J108,IF($L$2="F.F.",Auxiliar!$C$1:$C$12,Auxiliar!$B$1:$B$12),1),0),$H$3),$H$3)</f>
        <v>50</v>
      </c>
      <c r="L108" s="48">
        <f t="shared" ca="1" si="19"/>
        <v>0.30557749073643903</v>
      </c>
      <c r="M108" s="66">
        <f t="shared" ca="1" si="28"/>
        <v>2.7054621926271396E-3</v>
      </c>
      <c r="N108" s="52">
        <f t="shared" ca="1" si="27"/>
        <v>888.47728513636355</v>
      </c>
      <c r="O108" s="49">
        <f t="shared" ca="1" si="23"/>
        <v>0.16503319375025552</v>
      </c>
      <c r="P108" s="49">
        <f t="shared" ca="1" si="24"/>
        <v>888.31225194261333</v>
      </c>
      <c r="Q108" s="64">
        <v>869.95</v>
      </c>
      <c r="R108" s="49">
        <f t="shared" ca="1" si="25"/>
        <v>18.362251942613284</v>
      </c>
      <c r="S108" s="49">
        <f t="shared" si="26"/>
        <v>23.840000000000032</v>
      </c>
      <c r="T108" s="65" t="str">
        <f t="shared" si="31"/>
        <v/>
      </c>
    </row>
    <row r="109" spans="1:20" ht="15.95" customHeight="1" x14ac:dyDescent="0.2">
      <c r="A109" s="81">
        <v>103</v>
      </c>
      <c r="B109" s="79">
        <v>61</v>
      </c>
      <c r="C109" s="63" t="s">
        <v>52</v>
      </c>
      <c r="D109" s="80" cm="1">
        <f t="array" ref="D109">_xlfn.IFS(C109=Auxiliar!$A$15,B109,C109=Auxiliar!$A$16,B109/2,Dimensionamento!C109=Auxiliar!$A$17,0)</f>
        <v>61</v>
      </c>
      <c r="E109" s="87">
        <v>101</v>
      </c>
      <c r="F109" s="74" t="s">
        <v>52</v>
      </c>
      <c r="G109" s="49">
        <f t="shared" si="30"/>
        <v>0.21578376217293077</v>
      </c>
      <c r="H109" s="49">
        <f t="shared" si="29"/>
        <v>0.21578376217293077</v>
      </c>
      <c r="I109" s="51">
        <f t="shared" si="21"/>
        <v>0</v>
      </c>
      <c r="J109" s="49">
        <f t="shared" si="22"/>
        <v>0.6</v>
      </c>
      <c r="K109" s="50">
        <f ca="1">IFERROR(IF(OFFSET(Auxiliar!$A$1,MATCH(J109,IF($L$2="F.F.",Auxiliar!$C$1:$C$12,Auxiliar!$B$1:$B$12),1),0)&gt;$H$3,OFFSET(Auxiliar!$A$1,MATCH(J109,IF($L$2="F.F.",Auxiliar!$C$1:$C$12,Auxiliar!$B$1:$B$12),1),0),$H$3),$H$3)</f>
        <v>50</v>
      </c>
      <c r="L109" s="48">
        <f t="shared" ca="1" si="19"/>
        <v>0.30557749073643903</v>
      </c>
      <c r="M109" s="66">
        <f t="shared" ca="1" si="28"/>
        <v>2.7054621926271396E-3</v>
      </c>
      <c r="N109" s="52">
        <f t="shared" ca="1" si="27"/>
        <v>888.25814269876071</v>
      </c>
      <c r="O109" s="49">
        <f t="shared" ca="1" si="23"/>
        <v>0.16503319375025552</v>
      </c>
      <c r="P109" s="49">
        <f t="shared" ca="1" si="24"/>
        <v>888.09310950501049</v>
      </c>
      <c r="Q109" s="64">
        <v>868.48</v>
      </c>
      <c r="R109" s="49">
        <f t="shared" ca="1" si="25"/>
        <v>19.61310950501047</v>
      </c>
      <c r="S109" s="49">
        <f t="shared" si="26"/>
        <v>25.310000000000059</v>
      </c>
      <c r="T109" s="65" t="str">
        <f t="shared" si="31"/>
        <v/>
      </c>
    </row>
    <row r="110" spans="1:20" ht="15.95" customHeight="1" x14ac:dyDescent="0.2">
      <c r="A110" s="81">
        <v>104</v>
      </c>
      <c r="B110" s="79">
        <v>61</v>
      </c>
      <c r="C110" s="63" t="s">
        <v>51</v>
      </c>
      <c r="D110" s="80" cm="1">
        <f t="array" ref="D110">_xlfn.IFS(C110=Auxiliar!$A$15,B110,C110=Auxiliar!$A$16,B110/2,Dimensionamento!C110=Auxiliar!$A$17,0)</f>
        <v>30.5</v>
      </c>
      <c r="E110" s="86">
        <v>99</v>
      </c>
      <c r="F110" s="63" t="s">
        <v>51</v>
      </c>
      <c r="G110" s="49">
        <f t="shared" si="30"/>
        <v>0.43894308408570681</v>
      </c>
      <c r="H110" s="49">
        <f t="shared" si="29"/>
        <v>0.10789188108646539</v>
      </c>
      <c r="I110" s="51">
        <f t="shared" si="21"/>
        <v>0.3310512029992414</v>
      </c>
      <c r="J110" s="49">
        <f t="shared" si="22"/>
        <v>0.6</v>
      </c>
      <c r="K110" s="50">
        <f ca="1">IFERROR(IF(OFFSET(Auxiliar!$A$1,MATCH(J110,IF($L$2="F.F.",Auxiliar!$C$1:$C$12,Auxiliar!$B$1:$B$12),1),0)&gt;$H$3,OFFSET(Auxiliar!$A$1,MATCH(J110,IF($L$2="F.F.",Auxiliar!$C$1:$C$12,Auxiliar!$B$1:$B$12),1),0),$H$3),$H$3)</f>
        <v>50</v>
      </c>
      <c r="L110" s="48">
        <f t="shared" ca="1" si="19"/>
        <v>0.30557749073643903</v>
      </c>
      <c r="M110" s="66">
        <f t="shared" ca="1" si="28"/>
        <v>2.7054621926271396E-3</v>
      </c>
      <c r="N110" s="52">
        <f t="shared" ca="1" si="27"/>
        <v>888.86554949874926</v>
      </c>
      <c r="O110" s="49">
        <f t="shared" ca="1" si="23"/>
        <v>0.16503319375025552</v>
      </c>
      <c r="P110" s="49">
        <f t="shared" ca="1" si="24"/>
        <v>888.70051630499904</v>
      </c>
      <c r="Q110" s="64">
        <v>870.63</v>
      </c>
      <c r="R110" s="49">
        <f t="shared" ca="1" si="25"/>
        <v>18.070516304999046</v>
      </c>
      <c r="S110" s="49">
        <f t="shared" si="26"/>
        <v>23.160000000000082</v>
      </c>
      <c r="T110" s="65" t="str">
        <f t="shared" si="31"/>
        <v/>
      </c>
    </row>
    <row r="111" spans="1:20" ht="15.95" customHeight="1" x14ac:dyDescent="0.2">
      <c r="A111" s="81">
        <v>105</v>
      </c>
      <c r="B111" s="85">
        <v>75.17</v>
      </c>
      <c r="C111" s="63" t="s">
        <v>51</v>
      </c>
      <c r="D111" s="80" cm="1">
        <f t="array" ref="D111">_xlfn.IFS(C111=Auxiliar!$A$15,B111,C111=Auxiliar!$A$16,B111/2,Dimensionamento!C111=Auxiliar!$A$17,0)</f>
        <v>37.585000000000001</v>
      </c>
      <c r="E111" s="86">
        <v>104</v>
      </c>
      <c r="F111" s="63" t="s">
        <v>51</v>
      </c>
      <c r="G111" s="49">
        <f t="shared" si="30"/>
        <v>0.3310512029992414</v>
      </c>
      <c r="H111" s="49">
        <f t="shared" si="29"/>
        <v>0.13295463444704267</v>
      </c>
      <c r="I111" s="51">
        <f t="shared" si="21"/>
        <v>0.19809656855219873</v>
      </c>
      <c r="J111" s="49">
        <f t="shared" si="22"/>
        <v>0.6</v>
      </c>
      <c r="K111" s="50">
        <f ca="1">IFERROR(IF(OFFSET(Auxiliar!$A$1,MATCH(J111,IF($L$2="F.F.",Auxiliar!$C$1:$C$12,Auxiliar!$B$1:$B$12),1),0)&gt;$H$3,OFFSET(Auxiliar!$A$1,MATCH(J111,IF($L$2="F.F.",Auxiliar!$C$1:$C$12,Auxiliar!$B$1:$B$12),1),0),$H$3),$H$3)</f>
        <v>50</v>
      </c>
      <c r="L111" s="48">
        <f t="shared" ca="1" si="19"/>
        <v>0.30557749073643903</v>
      </c>
      <c r="M111" s="66">
        <f t="shared" ca="1" si="28"/>
        <v>2.7054621926271396E-3</v>
      </c>
      <c r="N111" s="52">
        <f t="shared" ca="1" si="27"/>
        <v>888.70051630499904</v>
      </c>
      <c r="O111" s="49">
        <f t="shared" ca="1" si="23"/>
        <v>0.20336959301978208</v>
      </c>
      <c r="P111" s="49">
        <f t="shared" ca="1" si="24"/>
        <v>888.49714671197921</v>
      </c>
      <c r="Q111" s="64">
        <v>869.95</v>
      </c>
      <c r="R111" s="49">
        <f t="shared" ca="1" si="25"/>
        <v>18.547146711979167</v>
      </c>
      <c r="S111" s="49">
        <f t="shared" si="26"/>
        <v>23.840000000000032</v>
      </c>
      <c r="T111" s="65" t="str">
        <f t="shared" si="31"/>
        <v/>
      </c>
    </row>
    <row r="112" spans="1:20" ht="15.95" customHeight="1" x14ac:dyDescent="0.2">
      <c r="A112" s="81">
        <v>106</v>
      </c>
      <c r="B112" s="79">
        <v>81</v>
      </c>
      <c r="C112" s="63" t="s">
        <v>51</v>
      </c>
      <c r="D112" s="80" cm="1">
        <f t="array" ref="D112">_xlfn.IFS(C112=Auxiliar!$A$15,B112,C112=Auxiliar!$A$16,B112/2,Dimensionamento!C112=Auxiliar!$A$17,0)</f>
        <v>40.5</v>
      </c>
      <c r="E112" s="86">
        <v>105</v>
      </c>
      <c r="F112" s="63" t="s">
        <v>51</v>
      </c>
      <c r="G112" s="49">
        <f t="shared" si="30"/>
        <v>0.19809656855219873</v>
      </c>
      <c r="H112" s="49">
        <f t="shared" si="29"/>
        <v>0.14326626832792944</v>
      </c>
      <c r="I112" s="51">
        <f t="shared" si="21"/>
        <v>5.4830300224269296E-2</v>
      </c>
      <c r="J112" s="49">
        <f t="shared" si="22"/>
        <v>0.6</v>
      </c>
      <c r="K112" s="50">
        <f ca="1">IFERROR(IF(OFFSET(Auxiliar!$A$1,MATCH(J112,IF($L$2="F.F.",Auxiliar!$C$1:$C$12,Auxiliar!$B$1:$B$12),1),0)&gt;$H$3,OFFSET(Auxiliar!$A$1,MATCH(J112,IF($L$2="F.F.",Auxiliar!$C$1:$C$12,Auxiliar!$B$1:$B$12),1),0),$H$3),$H$3)</f>
        <v>50</v>
      </c>
      <c r="L112" s="48">
        <f t="shared" ca="1" si="19"/>
        <v>0.30557749073643903</v>
      </c>
      <c r="M112" s="66">
        <f t="shared" ca="1" si="28"/>
        <v>2.7054621926271396E-3</v>
      </c>
      <c r="N112" s="52">
        <f t="shared" ca="1" si="27"/>
        <v>888.49714671197921</v>
      </c>
      <c r="O112" s="49">
        <f t="shared" ca="1" si="23"/>
        <v>0.21914243760279831</v>
      </c>
      <c r="P112" s="49">
        <f t="shared" ca="1" si="24"/>
        <v>888.27800427437637</v>
      </c>
      <c r="Q112" s="64">
        <v>868.48</v>
      </c>
      <c r="R112" s="49">
        <f t="shared" ca="1" si="25"/>
        <v>19.798004274376353</v>
      </c>
      <c r="S112" s="49">
        <f t="shared" si="26"/>
        <v>25.310000000000059</v>
      </c>
      <c r="T112" s="65" t="str">
        <f t="shared" si="31"/>
        <v/>
      </c>
    </row>
    <row r="113" spans="1:20" ht="15.95" customHeight="1" x14ac:dyDescent="0.2">
      <c r="A113" s="81">
        <v>107</v>
      </c>
      <c r="B113" s="79">
        <v>31</v>
      </c>
      <c r="C113" s="63" t="s">
        <v>51</v>
      </c>
      <c r="D113" s="80" cm="1">
        <f t="array" ref="D113">_xlfn.IFS(C113=Auxiliar!$A$15,B113,C113=Auxiliar!$A$16,B113/2,Dimensionamento!C113=Auxiliar!$A$17,0)</f>
        <v>15.5</v>
      </c>
      <c r="E113" s="86">
        <v>106</v>
      </c>
      <c r="F113" s="63" t="s">
        <v>52</v>
      </c>
      <c r="G113" s="49">
        <f t="shared" si="30"/>
        <v>5.4830300224269296E-2</v>
      </c>
      <c r="H113" s="49">
        <f t="shared" si="29"/>
        <v>5.4830300224269296E-2</v>
      </c>
      <c r="I113" s="51">
        <f t="shared" si="21"/>
        <v>0</v>
      </c>
      <c r="J113" s="49">
        <f t="shared" si="22"/>
        <v>0.6</v>
      </c>
      <c r="K113" s="50">
        <f ca="1">IFERROR(IF(OFFSET(Auxiliar!$A$1,MATCH(J113,IF($L$2="F.F.",Auxiliar!$C$1:$C$12,Auxiliar!$B$1:$B$12),1),0)&gt;$H$3,OFFSET(Auxiliar!$A$1,MATCH(J113,IF($L$2="F.F.",Auxiliar!$C$1:$C$12,Auxiliar!$B$1:$B$12),1),0),$H$3),$H$3)</f>
        <v>50</v>
      </c>
      <c r="L113" s="48">
        <f t="shared" ca="1" si="19"/>
        <v>0.30557749073643903</v>
      </c>
      <c r="M113" s="66">
        <f t="shared" ca="1" si="28"/>
        <v>2.7054621926271396E-3</v>
      </c>
      <c r="N113" s="52">
        <f t="shared" ca="1" si="27"/>
        <v>888.27800427437637</v>
      </c>
      <c r="O113" s="49">
        <f t="shared" ca="1" si="23"/>
        <v>8.3869327971441324E-2</v>
      </c>
      <c r="P113" s="49">
        <f t="shared" ca="1" si="24"/>
        <v>888.19413494640492</v>
      </c>
      <c r="Q113" s="64">
        <v>867.3</v>
      </c>
      <c r="R113" s="49">
        <f t="shared" ca="1" si="25"/>
        <v>20.894134946404961</v>
      </c>
      <c r="S113" s="49">
        <f t="shared" si="26"/>
        <v>26.490000000000123</v>
      </c>
      <c r="T113" s="65" t="str">
        <f t="shared" si="31"/>
        <v/>
      </c>
    </row>
    <row r="114" spans="1:20" ht="15.95" customHeight="1" x14ac:dyDescent="0.2">
      <c r="A114" s="81">
        <v>108</v>
      </c>
      <c r="B114" s="79">
        <v>31</v>
      </c>
      <c r="C114" s="63" t="s">
        <v>49</v>
      </c>
      <c r="D114" s="80" cm="1">
        <f t="array" ref="D114">_xlfn.IFS(C114=Auxiliar!$A$15,B114,C114=Auxiliar!$A$16,B114/2,Dimensionamento!C114=Auxiliar!$A$17,0)</f>
        <v>0</v>
      </c>
      <c r="E114" s="86">
        <v>104</v>
      </c>
      <c r="F114" s="63" t="s">
        <v>52</v>
      </c>
      <c r="G114" s="49">
        <f t="shared" si="30"/>
        <v>0</v>
      </c>
      <c r="H114" s="49">
        <f t="shared" si="29"/>
        <v>0</v>
      </c>
      <c r="I114" s="51">
        <f t="shared" si="21"/>
        <v>0</v>
      </c>
      <c r="J114" s="49">
        <f t="shared" si="22"/>
        <v>0.6</v>
      </c>
      <c r="K114" s="50">
        <f ca="1">IFERROR(IF(OFFSET(Auxiliar!$A$1,MATCH(J114,IF($L$2="F.F.",Auxiliar!$C$1:$C$12,Auxiliar!$B$1:$B$12),1),0)&gt;$H$3,OFFSET(Auxiliar!$A$1,MATCH(J114,IF($L$2="F.F.",Auxiliar!$C$1:$C$12,Auxiliar!$B$1:$B$12),1),0),$H$3),$H$3)</f>
        <v>50</v>
      </c>
      <c r="L114" s="48">
        <f t="shared" ca="1" si="19"/>
        <v>0.30557749073643903</v>
      </c>
      <c r="M114" s="66">
        <f t="shared" ca="1" si="28"/>
        <v>2.7054621926271396E-3</v>
      </c>
      <c r="N114" s="52">
        <f t="shared" ca="1" si="27"/>
        <v>888.70051630499904</v>
      </c>
      <c r="O114" s="49">
        <f t="shared" ca="1" si="23"/>
        <v>8.3869327971441324E-2</v>
      </c>
      <c r="P114" s="49">
        <f t="shared" ca="1" si="24"/>
        <v>888.61664697702759</v>
      </c>
      <c r="Q114" s="64">
        <v>869.76</v>
      </c>
      <c r="R114" s="49">
        <f t="shared" ca="1" si="25"/>
        <v>18.856646977027594</v>
      </c>
      <c r="S114" s="49">
        <f t="shared" si="26"/>
        <v>24.030000000000086</v>
      </c>
      <c r="T114" s="65" t="str">
        <f t="shared" si="31"/>
        <v/>
      </c>
    </row>
    <row r="115" spans="1:20" ht="15.95" customHeight="1" x14ac:dyDescent="0.2">
      <c r="A115" s="81">
        <v>109</v>
      </c>
      <c r="B115" s="85">
        <v>75.17</v>
      </c>
      <c r="C115" s="63" t="s">
        <v>52</v>
      </c>
      <c r="D115" s="80" cm="1">
        <f t="array" ref="D115">_xlfn.IFS(C115=Auxiliar!$A$15,B115,C115=Auxiliar!$A$16,B115/2,Dimensionamento!C115=Auxiliar!$A$17,0)</f>
        <v>75.17</v>
      </c>
      <c r="E115" s="86">
        <v>120</v>
      </c>
      <c r="F115" s="63" t="s">
        <v>51</v>
      </c>
      <c r="G115" s="49">
        <f t="shared" si="30"/>
        <v>0.98400932989580592</v>
      </c>
      <c r="H115" s="49">
        <f t="shared" si="29"/>
        <v>0.26590926889408534</v>
      </c>
      <c r="I115" s="51">
        <f t="shared" si="21"/>
        <v>0.71810006100172052</v>
      </c>
      <c r="J115" s="49">
        <f t="shared" si="22"/>
        <v>0.85105469544876322</v>
      </c>
      <c r="K115" s="50">
        <f ca="1">IFERROR(IF(OFFSET(Auxiliar!$A$1,MATCH(J115,IF($L$2="F.F.",Auxiliar!$C$1:$C$12,Auxiliar!$B$1:$B$12),1),0)&gt;$H$3,OFFSET(Auxiliar!$A$1,MATCH(J115,IF($L$2="F.F.",Auxiliar!$C$1:$C$12,Auxiliar!$B$1:$B$12),1),0),$H$3),$H$3)</f>
        <v>50</v>
      </c>
      <c r="L115" s="48">
        <f t="shared" ca="1" si="19"/>
        <v>0.43343859719116234</v>
      </c>
      <c r="M115" s="66">
        <f t="shared" ca="1" si="28"/>
        <v>5.1651504906977215E-3</v>
      </c>
      <c r="N115" s="52">
        <f t="shared" ca="1" si="27"/>
        <v>888.77084900087675</v>
      </c>
      <c r="O115" s="49">
        <f t="shared" ca="1" si="23"/>
        <v>0.38826436238574774</v>
      </c>
      <c r="P115" s="49">
        <f t="shared" ca="1" si="24"/>
        <v>888.38258463849104</v>
      </c>
      <c r="Q115" s="64">
        <v>869.2</v>
      </c>
      <c r="R115" s="49">
        <f t="shared" ca="1" si="25"/>
        <v>19.182584638490994</v>
      </c>
      <c r="S115" s="49">
        <f t="shared" si="26"/>
        <v>24.590000000000032</v>
      </c>
      <c r="T115" s="65" t="str">
        <f t="shared" si="31"/>
        <v/>
      </c>
    </row>
    <row r="116" spans="1:20" ht="15.95" customHeight="1" x14ac:dyDescent="0.2">
      <c r="A116" s="81">
        <v>110</v>
      </c>
      <c r="B116" s="79">
        <v>81</v>
      </c>
      <c r="C116" s="63" t="s">
        <v>52</v>
      </c>
      <c r="D116" s="80" cm="1">
        <f t="array" ref="D116">_xlfn.IFS(C116=Auxiliar!$A$15,B116,C116=Auxiliar!$A$16,B116/2,Dimensionamento!C116=Auxiliar!$A$17,0)</f>
        <v>81</v>
      </c>
      <c r="E116" s="86">
        <v>109</v>
      </c>
      <c r="F116" s="63" t="s">
        <v>51</v>
      </c>
      <c r="G116" s="49">
        <f t="shared" si="30"/>
        <v>0.5023162988287897</v>
      </c>
      <c r="H116" s="49">
        <f t="shared" si="29"/>
        <v>0.28653253665585887</v>
      </c>
      <c r="I116" s="51">
        <f t="shared" si="21"/>
        <v>0.21578376217293077</v>
      </c>
      <c r="J116" s="49">
        <f t="shared" si="22"/>
        <v>0.6</v>
      </c>
      <c r="K116" s="50">
        <f ca="1">IFERROR(IF(OFFSET(Auxiliar!$A$1,MATCH(J116,IF($L$2="F.F.",Auxiliar!$C$1:$C$12,Auxiliar!$B$1:$B$12),1),0)&gt;$H$3,OFFSET(Auxiliar!$A$1,MATCH(J116,IF($L$2="F.F.",Auxiliar!$C$1:$C$12,Auxiliar!$B$1:$B$12),1),0),$H$3),$H$3)</f>
        <v>50</v>
      </c>
      <c r="L116" s="48">
        <f t="shared" ca="1" si="19"/>
        <v>0.30557749073643903</v>
      </c>
      <c r="M116" s="66">
        <f t="shared" ca="1" si="28"/>
        <v>2.7054621926271396E-3</v>
      </c>
      <c r="N116" s="52">
        <f t="shared" ca="1" si="27"/>
        <v>888.38258463849104</v>
      </c>
      <c r="O116" s="49">
        <f t="shared" ca="1" si="23"/>
        <v>0.21914243760279831</v>
      </c>
      <c r="P116" s="49">
        <f t="shared" ca="1" si="24"/>
        <v>888.1634422008882</v>
      </c>
      <c r="Q116" s="64">
        <v>867.3</v>
      </c>
      <c r="R116" s="49">
        <f t="shared" ca="1" si="25"/>
        <v>20.863442200888244</v>
      </c>
      <c r="S116" s="49">
        <f t="shared" si="26"/>
        <v>26.490000000000123</v>
      </c>
      <c r="T116" s="65" t="str">
        <f t="shared" si="31"/>
        <v/>
      </c>
    </row>
    <row r="117" spans="1:20" ht="15.95" customHeight="1" x14ac:dyDescent="0.2">
      <c r="A117" s="81">
        <v>111</v>
      </c>
      <c r="B117" s="85">
        <v>61</v>
      </c>
      <c r="C117" s="63" t="s">
        <v>52</v>
      </c>
      <c r="D117" s="80" cm="1">
        <f t="array" ref="D117">_xlfn.IFS(C117=Auxiliar!$A$15,B117,C117=Auxiliar!$A$16,B117/2,Dimensionamento!C117=Auxiliar!$A$17,0)</f>
        <v>61</v>
      </c>
      <c r="E117" s="86">
        <v>109</v>
      </c>
      <c r="F117" s="63" t="s">
        <v>52</v>
      </c>
      <c r="G117" s="49">
        <f t="shared" si="30"/>
        <v>0.21578376217293077</v>
      </c>
      <c r="H117" s="49">
        <f t="shared" si="29"/>
        <v>0.21578376217293077</v>
      </c>
      <c r="I117" s="51">
        <f t="shared" si="21"/>
        <v>0</v>
      </c>
      <c r="J117" s="49">
        <f t="shared" si="22"/>
        <v>0.6</v>
      </c>
      <c r="K117" s="50">
        <f ca="1">IFERROR(IF(OFFSET(Auxiliar!$A$1,MATCH(J117,IF($L$2="F.F.",Auxiliar!$C$1:$C$12,Auxiliar!$B$1:$B$12),1),0)&gt;$H$3,OFFSET(Auxiliar!$A$1,MATCH(J117,IF($L$2="F.F.",Auxiliar!$C$1:$C$12,Auxiliar!$B$1:$B$12),1),0),$H$3),$H$3)</f>
        <v>50</v>
      </c>
      <c r="L117" s="48">
        <f t="shared" ca="1" si="19"/>
        <v>0.30557749073643903</v>
      </c>
      <c r="M117" s="66">
        <f t="shared" ca="1" si="28"/>
        <v>2.7054621926271396E-3</v>
      </c>
      <c r="N117" s="52">
        <f t="shared" ca="1" si="27"/>
        <v>888.38258463849104</v>
      </c>
      <c r="O117" s="49">
        <f t="shared" ca="1" si="23"/>
        <v>0.16503319375025552</v>
      </c>
      <c r="P117" s="49">
        <f t="shared" ca="1" si="24"/>
        <v>888.21755144474082</v>
      </c>
      <c r="Q117" s="64">
        <v>867.2</v>
      </c>
      <c r="R117" s="49">
        <f t="shared" ca="1" si="25"/>
        <v>21.017551444740775</v>
      </c>
      <c r="S117" s="49">
        <f t="shared" si="26"/>
        <v>26.590000000000032</v>
      </c>
      <c r="T117" s="65" t="str">
        <f t="shared" si="31"/>
        <v/>
      </c>
    </row>
    <row r="118" spans="1:20" ht="15.95" customHeight="1" x14ac:dyDescent="0.2">
      <c r="A118" s="81">
        <v>112</v>
      </c>
      <c r="B118" s="85">
        <v>61</v>
      </c>
      <c r="C118" s="63" t="s">
        <v>52</v>
      </c>
      <c r="D118" s="80" cm="1">
        <f t="array" ref="D118">_xlfn.IFS(C118=Auxiliar!$A$15,B118,C118=Auxiliar!$A$16,B118/2,Dimensionamento!C118=Auxiliar!$A$17,0)</f>
        <v>61</v>
      </c>
      <c r="E118" s="86">
        <v>110</v>
      </c>
      <c r="F118" s="63" t="s">
        <v>52</v>
      </c>
      <c r="G118" s="49">
        <f t="shared" si="30"/>
        <v>0.21578376217293077</v>
      </c>
      <c r="H118" s="49">
        <f t="shared" si="29"/>
        <v>0.21578376217293077</v>
      </c>
      <c r="I118" s="51">
        <f t="shared" si="21"/>
        <v>0</v>
      </c>
      <c r="J118" s="49">
        <f t="shared" si="22"/>
        <v>0.6</v>
      </c>
      <c r="K118" s="50">
        <f ca="1">IFERROR(IF(OFFSET(Auxiliar!$A$1,MATCH(J118,IF($L$2="F.F.",Auxiliar!$C$1:$C$12,Auxiliar!$B$1:$B$12),1),0)&gt;$H$3,OFFSET(Auxiliar!$A$1,MATCH(J118,IF($L$2="F.F.",Auxiliar!$C$1:$C$12,Auxiliar!$B$1:$B$12),1),0),$H$3),$H$3)</f>
        <v>50</v>
      </c>
      <c r="L118" s="48">
        <f t="shared" ca="1" si="19"/>
        <v>0.30557749073643903</v>
      </c>
      <c r="M118" s="66">
        <f t="shared" ca="1" si="28"/>
        <v>2.7054621926271396E-3</v>
      </c>
      <c r="N118" s="52">
        <f t="shared" ca="1" si="27"/>
        <v>888.1634422008882</v>
      </c>
      <c r="O118" s="49">
        <f t="shared" ca="1" si="23"/>
        <v>0.16503319375025552</v>
      </c>
      <c r="P118" s="49">
        <f t="shared" ca="1" si="24"/>
        <v>887.99840900713798</v>
      </c>
      <c r="Q118" s="64">
        <v>865.24</v>
      </c>
      <c r="R118" s="49">
        <f t="shared" ca="1" si="25"/>
        <v>22.758409007137971</v>
      </c>
      <c r="S118" s="49">
        <f t="shared" si="26"/>
        <v>28.550000000000068</v>
      </c>
      <c r="T118" s="65" t="str">
        <f t="shared" si="31"/>
        <v/>
      </c>
    </row>
    <row r="119" spans="1:20" ht="15.95" customHeight="1" x14ac:dyDescent="0.2">
      <c r="A119" s="81">
        <v>113</v>
      </c>
      <c r="B119" s="85">
        <v>61</v>
      </c>
      <c r="C119" s="63" t="s">
        <v>51</v>
      </c>
      <c r="D119" s="80" cm="1">
        <f t="array" ref="D119">_xlfn.IFS(C119=Auxiliar!$A$15,B119,C119=Auxiliar!$A$16,B119/2,Dimensionamento!C119=Auxiliar!$A$17,0)</f>
        <v>30.5</v>
      </c>
      <c r="E119" s="86">
        <v>120</v>
      </c>
      <c r="F119" s="63" t="s">
        <v>51</v>
      </c>
      <c r="G119" s="49">
        <f t="shared" si="30"/>
        <v>0.38411278386143755</v>
      </c>
      <c r="H119" s="49">
        <f t="shared" si="29"/>
        <v>0.10789188108646539</v>
      </c>
      <c r="I119" s="51">
        <f t="shared" si="21"/>
        <v>0.27622090277497213</v>
      </c>
      <c r="J119" s="49">
        <f t="shared" si="22"/>
        <v>0.6</v>
      </c>
      <c r="K119" s="50">
        <f ca="1">IFERROR(IF(OFFSET(Auxiliar!$A$1,MATCH(J119,IF($L$2="F.F.",Auxiliar!$C$1:$C$12,Auxiliar!$B$1:$B$12),1),0)&gt;$H$3,OFFSET(Auxiliar!$A$1,MATCH(J119,IF($L$2="F.F.",Auxiliar!$C$1:$C$12,Auxiliar!$B$1:$B$12),1),0),$H$3),$H$3)</f>
        <v>50</v>
      </c>
      <c r="L119" s="48">
        <f t="shared" ca="1" si="19"/>
        <v>0.30557749073643903</v>
      </c>
      <c r="M119" s="66">
        <f t="shared" ca="1" si="28"/>
        <v>2.7054621926271396E-3</v>
      </c>
      <c r="N119" s="52">
        <f t="shared" ca="1" si="27"/>
        <v>888.77084900087675</v>
      </c>
      <c r="O119" s="49">
        <f t="shared" ca="1" si="23"/>
        <v>0.16503319375025552</v>
      </c>
      <c r="P119" s="49">
        <f t="shared" ca="1" si="24"/>
        <v>888.60581580712653</v>
      </c>
      <c r="Q119" s="64">
        <v>868.18</v>
      </c>
      <c r="R119" s="49">
        <f t="shared" ca="1" si="25"/>
        <v>20.425815807126583</v>
      </c>
      <c r="S119" s="49">
        <f t="shared" si="26"/>
        <v>25.610000000000127</v>
      </c>
      <c r="T119" s="65" t="str">
        <f t="shared" si="31"/>
        <v/>
      </c>
    </row>
    <row r="120" spans="1:20" ht="15.95" customHeight="1" x14ac:dyDescent="0.2">
      <c r="A120" s="81">
        <v>114</v>
      </c>
      <c r="B120" s="85">
        <v>75.17</v>
      </c>
      <c r="C120" s="63" t="s">
        <v>51</v>
      </c>
      <c r="D120" s="80" cm="1">
        <f t="array" ref="D120">_xlfn.IFS(C120=Auxiliar!$A$15,B120,C120=Auxiliar!$A$16,B120/2,Dimensionamento!C120=Auxiliar!$A$17,0)</f>
        <v>37.585000000000001</v>
      </c>
      <c r="E120" s="86">
        <v>113</v>
      </c>
      <c r="F120" s="63" t="s">
        <v>51</v>
      </c>
      <c r="G120" s="49">
        <f t="shared" si="30"/>
        <v>0.27622090277497213</v>
      </c>
      <c r="H120" s="49">
        <f t="shared" si="29"/>
        <v>0.13295463444704267</v>
      </c>
      <c r="I120" s="51">
        <f t="shared" si="21"/>
        <v>0.14326626832792944</v>
      </c>
      <c r="J120" s="49">
        <f t="shared" si="22"/>
        <v>0.6</v>
      </c>
      <c r="K120" s="50">
        <f ca="1">IFERROR(IF(OFFSET(Auxiliar!$A$1,MATCH(J120,IF($L$2="F.F.",Auxiliar!$C$1:$C$12,Auxiliar!$B$1:$B$12),1),0)&gt;$H$3,OFFSET(Auxiliar!$A$1,MATCH(J120,IF($L$2="F.F.",Auxiliar!$C$1:$C$12,Auxiliar!$B$1:$B$12),1),0),$H$3),$H$3)</f>
        <v>50</v>
      </c>
      <c r="L120" s="48">
        <f t="shared" ca="1" si="19"/>
        <v>0.30557749073643903</v>
      </c>
      <c r="M120" s="66">
        <f t="shared" ca="1" si="28"/>
        <v>2.7054621926271396E-3</v>
      </c>
      <c r="N120" s="52">
        <f t="shared" ca="1" si="27"/>
        <v>888.60581580712653</v>
      </c>
      <c r="O120" s="49">
        <f t="shared" ca="1" si="23"/>
        <v>0.20336959301978208</v>
      </c>
      <c r="P120" s="49">
        <f t="shared" ca="1" si="24"/>
        <v>888.4024462141067</v>
      </c>
      <c r="Q120" s="64">
        <v>867.2</v>
      </c>
      <c r="R120" s="49">
        <f t="shared" ca="1" si="25"/>
        <v>21.202446214106658</v>
      </c>
      <c r="S120" s="49">
        <f t="shared" si="26"/>
        <v>26.590000000000032</v>
      </c>
      <c r="T120" s="65" t="str">
        <f t="shared" si="31"/>
        <v/>
      </c>
    </row>
    <row r="121" spans="1:20" ht="15.95" customHeight="1" x14ac:dyDescent="0.2">
      <c r="A121" s="83">
        <v>115</v>
      </c>
      <c r="B121" s="85">
        <v>81</v>
      </c>
      <c r="C121" s="63" t="s">
        <v>51</v>
      </c>
      <c r="D121" s="80" cm="1">
        <f t="array" ref="D121">_xlfn.IFS(C121=Auxiliar!$A$15,B121,C121=Auxiliar!$A$16,B121/2,Dimensionamento!C121=Auxiliar!$A$17,0)</f>
        <v>40.5</v>
      </c>
      <c r="E121" s="86">
        <v>114</v>
      </c>
      <c r="F121" s="63" t="s">
        <v>51</v>
      </c>
      <c r="G121" s="49">
        <f t="shared" si="30"/>
        <v>0.14326626832792944</v>
      </c>
      <c r="H121" s="49">
        <f t="shared" si="29"/>
        <v>0.14326626832792944</v>
      </c>
      <c r="I121" s="51">
        <f t="shared" si="21"/>
        <v>0</v>
      </c>
      <c r="J121" s="49">
        <f t="shared" si="22"/>
        <v>0.6</v>
      </c>
      <c r="K121" s="50">
        <f ca="1">IFERROR(IF(OFFSET(Auxiliar!$A$1,MATCH(J121,IF($L$2="F.F.",Auxiliar!$C$1:$C$12,Auxiliar!$B$1:$B$12),1),0)&gt;$H$3,OFFSET(Auxiliar!$A$1,MATCH(J121,IF($L$2="F.F.",Auxiliar!$C$1:$C$12,Auxiliar!$B$1:$B$12),1),0),$H$3),$H$3)</f>
        <v>50</v>
      </c>
      <c r="L121" s="48">
        <f t="shared" ca="1" si="19"/>
        <v>0.30557749073643903</v>
      </c>
      <c r="M121" s="66">
        <f t="shared" ca="1" si="28"/>
        <v>2.7054621926271396E-3</v>
      </c>
      <c r="N121" s="52">
        <f t="shared" ca="1" si="27"/>
        <v>888.4024462141067</v>
      </c>
      <c r="O121" s="49">
        <f t="shared" ca="1" si="23"/>
        <v>0.21914243760279831</v>
      </c>
      <c r="P121" s="49">
        <f t="shared" ca="1" si="24"/>
        <v>888.18330377650386</v>
      </c>
      <c r="Q121" s="64">
        <v>865.24</v>
      </c>
      <c r="R121" s="49">
        <f t="shared" ca="1" si="25"/>
        <v>22.943303776503853</v>
      </c>
      <c r="S121" s="49">
        <f t="shared" si="26"/>
        <v>28.550000000000068</v>
      </c>
      <c r="T121" s="65" t="str">
        <f t="shared" si="31"/>
        <v/>
      </c>
    </row>
    <row r="122" spans="1:20" ht="15.95" customHeight="1" x14ac:dyDescent="0.2">
      <c r="A122" s="83">
        <v>116</v>
      </c>
      <c r="B122" s="85">
        <v>51</v>
      </c>
      <c r="C122" s="63" t="s">
        <v>49</v>
      </c>
      <c r="D122" s="80" cm="1">
        <f t="array" ref="D122">_xlfn.IFS(C122=Auxiliar!$A$15,B122,C122=Auxiliar!$A$16,B122/2,Dimensionamento!C122=Auxiliar!$A$17,0)</f>
        <v>0</v>
      </c>
      <c r="E122" s="86">
        <v>115</v>
      </c>
      <c r="F122" s="63" t="s">
        <v>52</v>
      </c>
      <c r="G122" s="49">
        <f t="shared" si="30"/>
        <v>0</v>
      </c>
      <c r="H122" s="49">
        <f t="shared" si="29"/>
        <v>0</v>
      </c>
      <c r="I122" s="51">
        <f t="shared" si="21"/>
        <v>0</v>
      </c>
      <c r="J122" s="49">
        <f t="shared" si="22"/>
        <v>0.6</v>
      </c>
      <c r="K122" s="50">
        <f ca="1">IFERROR(IF(OFFSET(Auxiliar!$A$1,MATCH(J122,IF($L$2="F.F.",Auxiliar!$C$1:$C$12,Auxiliar!$B$1:$B$12),1),0)&gt;$H$3,OFFSET(Auxiliar!$A$1,MATCH(J122,IF($L$2="F.F.",Auxiliar!$C$1:$C$12,Auxiliar!$B$1:$B$12),1),0),$H$3),$H$3)</f>
        <v>50</v>
      </c>
      <c r="L122" s="48">
        <f t="shared" ca="1" si="19"/>
        <v>0.30557749073643903</v>
      </c>
      <c r="M122" s="66">
        <f t="shared" ca="1" si="28"/>
        <v>2.7054621926271396E-3</v>
      </c>
      <c r="N122" s="52">
        <f t="shared" ca="1" si="27"/>
        <v>888.18330377650386</v>
      </c>
      <c r="O122" s="49">
        <f t="shared" ca="1" si="23"/>
        <v>0.13797857182398413</v>
      </c>
      <c r="P122" s="49">
        <f t="shared" ca="1" si="24"/>
        <v>888.0453252046799</v>
      </c>
      <c r="Q122" s="64">
        <v>864.49</v>
      </c>
      <c r="R122" s="49">
        <f t="shared" ca="1" si="25"/>
        <v>23.555325204679889</v>
      </c>
      <c r="S122" s="49">
        <f t="shared" si="26"/>
        <v>29.300000000000068</v>
      </c>
      <c r="T122" s="65" t="str">
        <f t="shared" si="31"/>
        <v/>
      </c>
    </row>
    <row r="123" spans="1:20" ht="15.95" customHeight="1" x14ac:dyDescent="0.2">
      <c r="A123" s="81">
        <v>117</v>
      </c>
      <c r="B123" s="85">
        <v>26</v>
      </c>
      <c r="C123" s="63" t="s">
        <v>49</v>
      </c>
      <c r="D123" s="80" cm="1">
        <f t="array" ref="D123">_xlfn.IFS(C123=Auxiliar!$A$15,B123,C123=Auxiliar!$A$16,B123/2,Dimensionamento!C123=Auxiliar!$A$17,0)</f>
        <v>0</v>
      </c>
      <c r="E123" s="87">
        <v>18</v>
      </c>
      <c r="F123" s="63" t="s">
        <v>51</v>
      </c>
      <c r="G123" s="49">
        <f t="shared" si="30"/>
        <v>5.8023174729490217</v>
      </c>
      <c r="H123" s="49">
        <f t="shared" si="29"/>
        <v>0</v>
      </c>
      <c r="I123" s="51">
        <f t="shared" si="21"/>
        <v>5.8023174729490217</v>
      </c>
      <c r="J123" s="49">
        <f t="shared" si="22"/>
        <v>5.8023174729490217</v>
      </c>
      <c r="K123" s="50">
        <f ca="1">IFERROR(IF(OFFSET(Auxiliar!$A$1,MATCH(J123,IF($L$2="F.F.",Auxiliar!$C$1:$C$12,Auxiliar!$B$1:$B$12),1),0)&gt;$H$3,OFFSET(Auxiliar!$A$1,MATCH(J123,IF($L$2="F.F.",Auxiliar!$C$1:$C$12,Auxiliar!$B$1:$B$12),1),0),$H$3),$H$3)</f>
        <v>100</v>
      </c>
      <c r="L123" s="48">
        <f t="shared" ca="1" si="19"/>
        <v>0.7387740057666492</v>
      </c>
      <c r="M123" s="66">
        <f t="shared" ca="1" si="28"/>
        <v>6.1561377493869213E-3</v>
      </c>
      <c r="N123" s="52">
        <f t="shared" ca="1" si="27"/>
        <v>889.42152747514069</v>
      </c>
      <c r="O123" s="49">
        <f t="shared" ca="1" si="23"/>
        <v>0.16005958148405997</v>
      </c>
      <c r="P123" s="49">
        <f t="shared" ca="1" si="24"/>
        <v>889.26146789365669</v>
      </c>
      <c r="Q123" s="64">
        <v>874.26</v>
      </c>
      <c r="R123" s="49">
        <f t="shared" ca="1" si="25"/>
        <v>15.001467893656695</v>
      </c>
      <c r="S123" s="49">
        <f t="shared" si="26"/>
        <v>19.530000000000086</v>
      </c>
      <c r="T123" s="65" t="str">
        <f t="shared" si="31"/>
        <v/>
      </c>
    </row>
    <row r="124" spans="1:20" ht="15.95" customHeight="1" x14ac:dyDescent="0.2">
      <c r="A124" s="83">
        <v>118</v>
      </c>
      <c r="B124" s="85">
        <v>26</v>
      </c>
      <c r="C124" s="63" t="s">
        <v>49</v>
      </c>
      <c r="D124" s="80" cm="1">
        <f t="array" ref="D124">_xlfn.IFS(C124=Auxiliar!$A$15,B124,C124=Auxiliar!$A$16,B124/2,Dimensionamento!C124=Auxiliar!$A$17,0)</f>
        <v>0</v>
      </c>
      <c r="E124" s="86">
        <v>52</v>
      </c>
      <c r="F124" s="63" t="s">
        <v>51</v>
      </c>
      <c r="G124" s="49">
        <f t="shared" si="30"/>
        <v>0.79238627420879493</v>
      </c>
      <c r="H124" s="49">
        <f t="shared" si="29"/>
        <v>0</v>
      </c>
      <c r="I124" s="51">
        <f t="shared" si="21"/>
        <v>0.79238627420879493</v>
      </c>
      <c r="J124" s="49">
        <f t="shared" si="22"/>
        <v>0.79238627420879493</v>
      </c>
      <c r="K124" s="50">
        <f ca="1">IFERROR(IF(OFFSET(Auxiliar!$A$1,MATCH(J124,IF($L$2="F.F.",Auxiliar!$C$1:$C$12,Auxiliar!$B$1:$B$12),1),0)&gt;$H$3,OFFSET(Auxiliar!$A$1,MATCH(J124,IF($L$2="F.F.",Auxiliar!$C$1:$C$12,Auxiliar!$B$1:$B$12),1),0),$H$3),$H$3)</f>
        <v>50</v>
      </c>
      <c r="L124" s="48">
        <f t="shared" ca="1" si="19"/>
        <v>0.40355901561119917</v>
      </c>
      <c r="M124" s="66">
        <f t="shared" ref="M124:M129" ca="1" si="32">(10.641*((0.001*J124)^1.85))/(($L$3^1.85)*((0.001*K124)^4.87))</f>
        <v>4.5257962947648309E-3</v>
      </c>
      <c r="N124" s="52">
        <f t="shared" ca="1" si="27"/>
        <v>890.12212712769167</v>
      </c>
      <c r="O124" s="49">
        <f t="shared" ca="1" si="23"/>
        <v>0.1176707036638856</v>
      </c>
      <c r="P124" s="49">
        <f t="shared" ca="1" si="24"/>
        <v>890.00445642402781</v>
      </c>
      <c r="Q124" s="64">
        <v>873.9</v>
      </c>
      <c r="R124" s="49">
        <f t="shared" ca="1" si="25"/>
        <v>16.104456424027831</v>
      </c>
      <c r="S124" s="49">
        <f t="shared" si="26"/>
        <v>19.8900000000001</v>
      </c>
      <c r="T124" s="65" t="str">
        <f t="shared" si="31"/>
        <v/>
      </c>
    </row>
    <row r="125" spans="1:20" ht="15.95" customHeight="1" x14ac:dyDescent="0.2">
      <c r="A125" s="83">
        <v>119</v>
      </c>
      <c r="B125" s="85">
        <v>53.66</v>
      </c>
      <c r="C125" s="63" t="s">
        <v>51</v>
      </c>
      <c r="D125" s="80" cm="1">
        <f t="array" ref="D125">_xlfn.IFS(C125=Auxiliar!$A$15,B125,C125=Auxiliar!$A$16,B125/2,Dimensionamento!C125=Auxiliar!$A$17,0)</f>
        <v>26.83</v>
      </c>
      <c r="E125" s="86">
        <v>118</v>
      </c>
      <c r="F125" s="63" t="s">
        <v>51</v>
      </c>
      <c r="G125" s="49">
        <f t="shared" si="30"/>
        <v>0.79238627420879493</v>
      </c>
      <c r="H125" s="49">
        <f t="shared" si="29"/>
        <v>9.4909480968848062E-2</v>
      </c>
      <c r="I125" s="51">
        <f t="shared" si="21"/>
        <v>0.69747679323994682</v>
      </c>
      <c r="J125" s="49">
        <f t="shared" si="22"/>
        <v>0.74493153372437093</v>
      </c>
      <c r="K125" s="50">
        <f ca="1">IFERROR(IF(OFFSET(Auxiliar!$A$1,MATCH(J125,IF($L$2="F.F.",Auxiliar!$C$1:$C$12,Auxiliar!$B$1:$B$12),1),0)&gt;$H$3,OFFSET(Auxiliar!$A$1,MATCH(J125,IF($L$2="F.F.",Auxiliar!$C$1:$C$12,Auxiliar!$B$1:$B$12),1),0),$H$3),$H$3)</f>
        <v>50</v>
      </c>
      <c r="L125" s="48">
        <f t="shared" ca="1" si="19"/>
        <v>0.37939051474323382</v>
      </c>
      <c r="M125" s="66">
        <f t="shared" ca="1" si="32"/>
        <v>4.0371689074998347E-3</v>
      </c>
      <c r="N125" s="52">
        <f t="shared" ca="1" si="27"/>
        <v>890.00445642402781</v>
      </c>
      <c r="O125" s="49">
        <f t="shared" ca="1" si="23"/>
        <v>0.21663448357644111</v>
      </c>
      <c r="P125" s="49">
        <f t="shared" ca="1" si="24"/>
        <v>889.78782194045141</v>
      </c>
      <c r="Q125" s="64">
        <v>874.4</v>
      </c>
      <c r="R125" s="49">
        <f t="shared" ca="1" si="25"/>
        <v>15.387821940451431</v>
      </c>
      <c r="S125" s="49">
        <f t="shared" si="26"/>
        <v>19.3900000000001</v>
      </c>
      <c r="T125" s="65" t="str">
        <f t="shared" si="31"/>
        <v/>
      </c>
    </row>
    <row r="126" spans="1:20" ht="15.95" customHeight="1" x14ac:dyDescent="0.2">
      <c r="A126" s="83">
        <v>120</v>
      </c>
      <c r="B126" s="85">
        <v>26</v>
      </c>
      <c r="C126" s="63" t="s">
        <v>49</v>
      </c>
      <c r="D126" s="80" cm="1">
        <f t="array" ref="D126">_xlfn.IFS(C126=Auxiliar!$A$15,B126,C126=Auxiliar!$A$16,B126/2,Dimensionamento!C126=Auxiliar!$A$17,0)</f>
        <v>0</v>
      </c>
      <c r="E126" s="86">
        <v>42</v>
      </c>
      <c r="F126" s="63" t="s">
        <v>51</v>
      </c>
      <c r="G126" s="49">
        <f t="shared" si="30"/>
        <v>1.3681221137572435</v>
      </c>
      <c r="H126" s="49">
        <f t="shared" si="29"/>
        <v>0</v>
      </c>
      <c r="I126" s="51">
        <f t="shared" si="21"/>
        <v>1.3681221137572435</v>
      </c>
      <c r="J126" s="49">
        <f t="shared" si="22"/>
        <v>1.3681221137572435</v>
      </c>
      <c r="K126" s="50">
        <f ca="1">IFERROR(IF(OFFSET(Auxiliar!$A$1,MATCH(J126,IF($L$2="F.F.",Auxiliar!$C$1:$C$12,Auxiliar!$B$1:$B$12),1),0)&gt;$H$3,OFFSET(Auxiliar!$A$1,MATCH(J126,IF($L$2="F.F.",Auxiliar!$C$1:$C$12,Auxiliar!$B$1:$B$12),1),0),$H$3),$H$3)</f>
        <v>75</v>
      </c>
      <c r="L126" s="48">
        <f t="shared" ca="1" si="19"/>
        <v>0.30967949817997881</v>
      </c>
      <c r="M126" s="66">
        <f t="shared" ca="1" si="32"/>
        <v>1.7255526717464191E-3</v>
      </c>
      <c r="N126" s="52">
        <f t="shared" ca="1" si="27"/>
        <v>888.81571337034211</v>
      </c>
      <c r="O126" s="49">
        <f t="shared" ca="1" si="23"/>
        <v>4.4864369465406895E-2</v>
      </c>
      <c r="P126" s="49">
        <f t="shared" ca="1" si="24"/>
        <v>888.77084900087675</v>
      </c>
      <c r="Q126" s="64">
        <v>869.76</v>
      </c>
      <c r="R126" s="49">
        <f t="shared" ca="1" si="25"/>
        <v>19.01084900087676</v>
      </c>
      <c r="S126" s="49">
        <f t="shared" si="26"/>
        <v>24.030000000000086</v>
      </c>
      <c r="T126" s="65" t="str">
        <f t="shared" si="31"/>
        <v/>
      </c>
    </row>
    <row r="127" spans="1:20" ht="15.95" customHeight="1" x14ac:dyDescent="0.2">
      <c r="A127" s="83">
        <v>121</v>
      </c>
      <c r="B127" s="85">
        <v>45.255000000000003</v>
      </c>
      <c r="C127" s="63" t="s">
        <v>49</v>
      </c>
      <c r="D127" s="80" cm="1">
        <f t="array" ref="D127">_xlfn.IFS(C127=Auxiliar!$A$15,B127,C127=Auxiliar!$A$16,B127/2,Dimensionamento!C127=Auxiliar!$A$17,0)</f>
        <v>0</v>
      </c>
      <c r="E127" s="86">
        <v>25</v>
      </c>
      <c r="F127" s="63" t="s">
        <v>52</v>
      </c>
      <c r="G127" s="49">
        <f t="shared" si="30"/>
        <v>0</v>
      </c>
      <c r="H127" s="49">
        <f t="shared" si="29"/>
        <v>0</v>
      </c>
      <c r="I127" s="51">
        <f t="shared" si="21"/>
        <v>0</v>
      </c>
      <c r="J127" s="49">
        <f t="shared" si="22"/>
        <v>0.6</v>
      </c>
      <c r="K127" s="50">
        <f ca="1">IFERROR(IF(OFFSET(Auxiliar!$A$1,MATCH(J127,IF($L$2="F.F.",Auxiliar!$C$1:$C$12,Auxiliar!$B$1:$B$12),1),0)&gt;$H$3,OFFSET(Auxiliar!$A$1,MATCH(J127,IF($L$2="F.F.",Auxiliar!$C$1:$C$12,Auxiliar!$B$1:$B$12),1),0),$H$3),$H$3)</f>
        <v>50</v>
      </c>
      <c r="L127" s="48">
        <f t="shared" ca="1" si="19"/>
        <v>0.30557749073643903</v>
      </c>
      <c r="M127" s="66">
        <f t="shared" ca="1" si="32"/>
        <v>2.7054621926271396E-3</v>
      </c>
      <c r="N127" s="52">
        <f t="shared" ca="1" si="27"/>
        <v>889.5903799221918</v>
      </c>
      <c r="O127" s="49">
        <f t="shared" ca="1" si="23"/>
        <v>0.12243569152734121</v>
      </c>
      <c r="P127" s="49">
        <f t="shared" ca="1" si="24"/>
        <v>889.46794423066444</v>
      </c>
      <c r="Q127" s="64">
        <v>871.92</v>
      </c>
      <c r="R127" s="49">
        <f t="shared" ca="1" si="25"/>
        <v>17.547944230664484</v>
      </c>
      <c r="S127" s="49">
        <f t="shared" si="26"/>
        <v>21.870000000000118</v>
      </c>
      <c r="T127" s="65" t="str">
        <f t="shared" si="31"/>
        <v/>
      </c>
    </row>
    <row r="128" spans="1:20" ht="15.95" customHeight="1" x14ac:dyDescent="0.2">
      <c r="A128" s="83">
        <v>122</v>
      </c>
      <c r="B128" s="85">
        <v>17.34</v>
      </c>
      <c r="C128" s="63" t="s">
        <v>51</v>
      </c>
      <c r="D128" s="80" cm="1">
        <f t="array" ref="D128">_xlfn.IFS(C128=Auxiliar!$A$15,B128,C128=Auxiliar!$A$16,B128/2,Dimensionamento!C128=Auxiliar!$A$17,0)</f>
        <v>8.67</v>
      </c>
      <c r="E128" s="86">
        <v>80</v>
      </c>
      <c r="F128" s="63" t="s">
        <v>51</v>
      </c>
      <c r="G128" s="49">
        <f t="shared" si="30"/>
        <v>2.390891159753521</v>
      </c>
      <c r="H128" s="49">
        <f t="shared" si="29"/>
        <v>3.0669593738349338E-2</v>
      </c>
      <c r="I128" s="51">
        <f t="shared" si="21"/>
        <v>2.3602215660151717</v>
      </c>
      <c r="J128" s="49">
        <f t="shared" si="22"/>
        <v>2.3755563628843461</v>
      </c>
      <c r="K128" s="50">
        <f ca="1">IFERROR(IF(OFFSET(Auxiliar!$A$1,MATCH(J128,IF($L$2="F.F.",Auxiliar!$C$1:$C$12,Auxiliar!$B$1:$B$12),1),0)&gt;$H$3,OFFSET(Auxiliar!$A$1,MATCH(J128,IF($L$2="F.F.",Auxiliar!$C$1:$C$12,Auxiliar!$B$1:$B$12),1),0),$H$3),$H$3)</f>
        <v>75</v>
      </c>
      <c r="L128" s="48">
        <f t="shared" ca="1" si="19"/>
        <v>0.53771596479494821</v>
      </c>
      <c r="M128" s="66">
        <f t="shared" ca="1" si="32"/>
        <v>4.7892014097486776E-3</v>
      </c>
      <c r="N128" s="52">
        <f t="shared" ca="1" si="27"/>
        <v>888.32582413250032</v>
      </c>
      <c r="O128" s="49">
        <f t="shared" ca="1" si="23"/>
        <v>8.3044752445042072E-2</v>
      </c>
      <c r="P128" s="49">
        <f t="shared" ca="1" si="24"/>
        <v>888.24277938005525</v>
      </c>
      <c r="Q128" s="64">
        <v>871.14</v>
      </c>
      <c r="R128" s="49">
        <f t="shared" ca="1" si="25"/>
        <v>17.102779380055267</v>
      </c>
      <c r="S128" s="49">
        <f t="shared" si="26"/>
        <v>22.650000000000091</v>
      </c>
      <c r="T128" s="65" t="str">
        <f t="shared" si="31"/>
        <v/>
      </c>
    </row>
    <row r="129" spans="1:20" ht="15.95" customHeight="1" x14ac:dyDescent="0.2">
      <c r="A129" s="83">
        <v>123</v>
      </c>
      <c r="B129" s="85">
        <v>25.914999999999999</v>
      </c>
      <c r="C129" s="63" t="s">
        <v>49</v>
      </c>
      <c r="D129" s="80" cm="1">
        <f t="array" ref="D129">_xlfn.IFS(C129=Auxiliar!$A$15,B129,C129=Auxiliar!$A$16,B129/2,Dimensionamento!C129=Auxiliar!$A$17,0)</f>
        <v>0</v>
      </c>
      <c r="E129" s="86">
        <v>122</v>
      </c>
      <c r="F129" s="63" t="s">
        <v>51</v>
      </c>
      <c r="G129" s="49">
        <f t="shared" si="30"/>
        <v>2.2600059269601043</v>
      </c>
      <c r="H129" s="49">
        <f t="shared" si="29"/>
        <v>0</v>
      </c>
      <c r="I129" s="51">
        <f t="shared" si="21"/>
        <v>2.2600059269601043</v>
      </c>
      <c r="J129" s="49">
        <f t="shared" si="22"/>
        <v>2.2600059269601043</v>
      </c>
      <c r="K129" s="50">
        <f ca="1">IFERROR(IF(OFFSET(Auxiliar!$A$1,MATCH(J129,IF($L$2="F.F.",Auxiliar!$C$1:$C$12,Auxiliar!$B$1:$B$12),1),0)&gt;$H$3,OFFSET(Auxiliar!$A$1,MATCH(J129,IF($L$2="F.F.",Auxiliar!$C$1:$C$12,Auxiliar!$B$1:$B$12),1),0),$H$3),$H$3)</f>
        <v>75</v>
      </c>
      <c r="L129" s="48">
        <f t="shared" ca="1" si="19"/>
        <v>0.51156069645181379</v>
      </c>
      <c r="M129" s="66">
        <f t="shared" ca="1" si="32"/>
        <v>4.3671684515391414E-3</v>
      </c>
      <c r="N129" s="52">
        <f t="shared" ca="1" si="27"/>
        <v>888.24277938005525</v>
      </c>
      <c r="O129" s="49">
        <f t="shared" ca="1" si="23"/>
        <v>0.11317517042163684</v>
      </c>
      <c r="P129" s="49">
        <f t="shared" ca="1" si="24"/>
        <v>888.12960420963361</v>
      </c>
      <c r="Q129" s="64">
        <v>870.93</v>
      </c>
      <c r="R129" s="49">
        <f t="shared" ca="1" si="25"/>
        <v>17.199604209633662</v>
      </c>
      <c r="S129" s="49">
        <f t="shared" si="26"/>
        <v>22.860000000000127</v>
      </c>
      <c r="T129" s="65"/>
    </row>
  </sheetData>
  <autoFilter ref="A6:T129" xr:uid="{00000000-0009-0000-0000-000000000000}"/>
  <mergeCells count="3">
    <mergeCell ref="A1:T1"/>
    <mergeCell ref="R2:T2"/>
    <mergeCell ref="D2:E5"/>
  </mergeCells>
  <phoneticPr fontId="0" type="noConversion"/>
  <conditionalFormatting sqref="R7:R129">
    <cfRule type="expression" dxfId="15" priority="1" stopIfTrue="1">
      <formula>AND(R7&lt;&gt;"",R7&lt;10)</formula>
    </cfRule>
  </conditionalFormatting>
  <conditionalFormatting sqref="S7:S129">
    <cfRule type="cellIs" dxfId="14" priority="2" stopIfTrue="1" operator="greaterThan">
      <formula>50</formula>
    </cfRule>
  </conditionalFormatting>
  <dataValidations count="2">
    <dataValidation type="list" allowBlank="1" showInputMessage="1" showErrorMessage="1" sqref="L2" xr:uid="{00000000-0002-0000-0000-000000000000}">
      <formula1>"PVC,F.F."</formula1>
    </dataValidation>
    <dataValidation type="list" allowBlank="1" showInputMessage="1" showErrorMessage="1" sqref="E8:E129" xr:uid="{252ACAB0-815B-4191-A270-DC4893A986BE}">
      <formula1>$A$7:$A$129</formula1>
    </dataValidation>
  </dataValidations>
  <printOptions horizontalCentered="1" verticalCentered="1"/>
  <pageMargins left="0.59055118110236227" right="0.59055118110236227" top="0.78740157480314965" bottom="0.59055118110236227" header="0" footer="0.39370078740157483"/>
  <pageSetup paperSize="9" scale="80" orientation="landscape" horizontalDpi="360" verticalDpi="1200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D1BA5C-9CCE-4098-9921-68449BDAB818}">
          <x14:formula1>
            <xm:f>Auxiliar!$A$15:$A$16</xm:f>
          </x14:formula1>
          <xm:sqref>F7:F129</xm:sqref>
        </x14:dataValidation>
        <x14:dataValidation type="list" allowBlank="1" showInputMessage="1" showErrorMessage="1" xr:uid="{4AE982E0-453B-4E5C-A4BD-3A470C221D27}">
          <x14:formula1>
            <xm:f>Auxiliar!$A$15:$A$17</xm:f>
          </x14:formula1>
          <xm:sqref>C7:C129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3A1B7-7D14-4699-966E-EC69C08BEE70}">
  <sheetPr codeName="Planilha3"/>
  <dimension ref="A1:H41"/>
  <sheetViews>
    <sheetView showGridLines="0" zoomScale="106" zoomScaleNormal="70" workbookViewId="0">
      <selection activeCell="K11" sqref="K11"/>
    </sheetView>
  </sheetViews>
  <sheetFormatPr defaultRowHeight="12.75" x14ac:dyDescent="0.2"/>
  <cols>
    <col min="1" max="1" width="8.5703125" customWidth="1"/>
    <col min="2" max="3" width="11.42578125" customWidth="1"/>
    <col min="4" max="4" width="15.140625" bestFit="1" customWidth="1"/>
    <col min="5" max="5" width="15.7109375" customWidth="1"/>
    <col min="6" max="6" width="13.140625" customWidth="1"/>
    <col min="7" max="7" width="12" customWidth="1"/>
    <col min="8" max="8" width="9.85546875" customWidth="1"/>
  </cols>
  <sheetData>
    <row r="1" spans="1:8" ht="18.75" customHeight="1" x14ac:dyDescent="0.2">
      <c r="A1" s="114" t="s">
        <v>55</v>
      </c>
      <c r="B1" s="114"/>
      <c r="C1" s="114"/>
      <c r="D1" s="114"/>
      <c r="E1" s="114"/>
      <c r="F1" s="114"/>
      <c r="G1" s="114"/>
      <c r="H1" s="114"/>
    </row>
    <row r="2" spans="1:8" ht="38.25" x14ac:dyDescent="0.2">
      <c r="A2" s="12" t="s">
        <v>56</v>
      </c>
      <c r="B2" s="12" t="s">
        <v>57</v>
      </c>
      <c r="C2" s="12" t="s">
        <v>58</v>
      </c>
      <c r="D2" s="12" t="s">
        <v>59</v>
      </c>
      <c r="E2" s="12" t="s">
        <v>60</v>
      </c>
      <c r="F2" s="13" t="s">
        <v>61</v>
      </c>
      <c r="G2" s="12" t="s">
        <v>62</v>
      </c>
      <c r="H2" s="12" t="s">
        <v>63</v>
      </c>
    </row>
    <row r="3" spans="1:8" x14ac:dyDescent="0.2">
      <c r="A3" s="78" t="s">
        <v>64</v>
      </c>
      <c r="B3" s="17">
        <v>5</v>
      </c>
      <c r="C3" s="17">
        <v>50</v>
      </c>
      <c r="D3" s="71">
        <f ca="1">VLOOKUP(Tabela1[[#This Row],[Trecho 01]],Dimensionamento!A:T,18)</f>
        <v>12.591654418814301</v>
      </c>
      <c r="E3" s="71">
        <f ca="1">VLOOKUP(Tabela1[[#This Row],[Trecho 02]],Dimensionamento!A:T,18)</f>
        <v>12.61923691449465</v>
      </c>
      <c r="F3" s="71">
        <f ca="1">(Tabela1[[#This Row],[Pressão 01
 (mca)]]+Tabela1[[#This Row],[Pressão 02
 (mca)]])/2</f>
        <v>12.605445666654475</v>
      </c>
      <c r="G3" s="71">
        <f ca="1">ABS(Tabela1[[#This Row],[Pressão 01
 (mca)]]-Tabela1[[#This Row],[Pressão 02
 (mca)]])</f>
        <v>2.7582495680348984E-2</v>
      </c>
      <c r="H3" s="73">
        <f ca="1">(Tabela1[[#This Row],[Diferença (mca)]]/Tabela1[[#This Row],[Pressão Média
(mca)]])*100</f>
        <v>0.21881412533722391</v>
      </c>
    </row>
    <row r="4" spans="1:8" x14ac:dyDescent="0.2">
      <c r="A4" s="78" t="s">
        <v>65</v>
      </c>
      <c r="B4" s="17">
        <v>52</v>
      </c>
      <c r="C4" s="17">
        <v>54</v>
      </c>
      <c r="D4" s="71">
        <f ca="1">VLOOKUP(Tabela1[[#This Row],[Trecho 01]],Dimensionamento!A:T,18)</f>
        <v>15.732127127691683</v>
      </c>
      <c r="E4" s="71">
        <f ca="1">VLOOKUP(Tabela1[[#This Row],[Trecho 02]],Dimensionamento!A:T,18)</f>
        <v>15.867950711538015</v>
      </c>
      <c r="F4" s="71">
        <f ca="1">(Tabela1[[#This Row],[Pressão 01
 (mca)]]+Tabela1[[#This Row],[Pressão 02
 (mca)]])/2</f>
        <v>15.800038919614849</v>
      </c>
      <c r="G4" s="71">
        <f ca="1">ABS(Tabela1[[#This Row],[Pressão 01
 (mca)]]-Tabela1[[#This Row],[Pressão 02
 (mca)]])</f>
        <v>0.13582358384633153</v>
      </c>
      <c r="H4" s="73">
        <f ca="1">(Tabela1[[#This Row],[Diferença (mca)]]/Tabela1[[#This Row],[Pressão Média
(mca)]])*100</f>
        <v>0.85964081821162019</v>
      </c>
    </row>
    <row r="5" spans="1:8" x14ac:dyDescent="0.2">
      <c r="A5" s="78" t="s">
        <v>66</v>
      </c>
      <c r="B5" s="17">
        <v>57</v>
      </c>
      <c r="C5" s="17">
        <v>118</v>
      </c>
      <c r="D5" s="71">
        <f ca="1">VLOOKUP(Tabela1[[#This Row],[Trecho 01]],Dimensionamento!A:T,18)</f>
        <v>16.23228479851241</v>
      </c>
      <c r="E5" s="71">
        <f ca="1">VLOOKUP(Tabela1[[#This Row],[Trecho 02]],Dimensionamento!A:T,18)</f>
        <v>16.104456424027831</v>
      </c>
      <c r="F5" s="71">
        <f ca="1">(Tabela1[[#This Row],[Pressão 01
 (mca)]]+Tabela1[[#This Row],[Pressão 02
 (mca)]])/2</f>
        <v>16.16837061127012</v>
      </c>
      <c r="G5" s="71">
        <f ca="1">ABS(Tabela1[[#This Row],[Pressão 01
 (mca)]]-Tabela1[[#This Row],[Pressão 02
 (mca)]])</f>
        <v>0.1278283744845794</v>
      </c>
      <c r="H5" s="73">
        <f ca="1">(Tabela1[[#This Row],[Diferença (mca)]]/Tabela1[[#This Row],[Pressão Média
(mca)]])*100</f>
        <v>0.79060764722622667</v>
      </c>
    </row>
    <row r="6" spans="1:8" x14ac:dyDescent="0.2">
      <c r="A6" s="91" t="s">
        <v>67</v>
      </c>
      <c r="B6" s="17">
        <v>7</v>
      </c>
      <c r="C6" s="17">
        <v>53</v>
      </c>
      <c r="D6" s="71">
        <f ca="1">VLOOKUP(Tabela1[[#This Row],[Trecho 01]],Dimensionamento!A:T,18)</f>
        <v>11.530403025066562</v>
      </c>
      <c r="E6" s="71">
        <f ca="1">VLOOKUP(Tabela1[[#This Row],[Trecho 02]],Dimensionamento!A:T,18)</f>
        <v>11.808087782510256</v>
      </c>
      <c r="F6" s="71">
        <f ca="1">(Tabela1[[#This Row],[Pressão 01
 (mca)]]+Tabela1[[#This Row],[Pressão 02
 (mca)]])/2</f>
        <v>11.669245403788409</v>
      </c>
      <c r="G6" s="71">
        <f ca="1">ABS(Tabela1[[#This Row],[Pressão 01
 (mca)]]-Tabela1[[#This Row],[Pressão 02
 (mca)]])</f>
        <v>0.27768475744369425</v>
      </c>
      <c r="H6" s="73">
        <f ca="1">(Tabela1[[#This Row],[Diferença (mca)]]/Tabela1[[#This Row],[Pressão Média
(mca)]])*100</f>
        <v>2.379629083415661</v>
      </c>
    </row>
    <row r="7" spans="1:8" x14ac:dyDescent="0.2">
      <c r="A7" s="92" t="s">
        <v>68</v>
      </c>
      <c r="B7" s="17">
        <v>9</v>
      </c>
      <c r="C7" s="17">
        <v>55</v>
      </c>
      <c r="D7" s="71">
        <f ca="1">VLOOKUP(Tabela1[[#This Row],[Trecho 01]],Dimensionamento!A:T,18)</f>
        <v>15.119585340528715</v>
      </c>
      <c r="E7" s="72">
        <f ca="1">VLOOKUP(Tabela1[[#This Row],[Trecho 02]],Dimensionamento!A:T,18)</f>
        <v>15.144148555867673</v>
      </c>
      <c r="F7" s="71">
        <f ca="1">(Tabela1[[#This Row],[Pressão 01
 (mca)]]+Tabela1[[#This Row],[Pressão 02
 (mca)]])/2</f>
        <v>15.131866948198194</v>
      </c>
      <c r="G7" s="72">
        <f ca="1">ABS(Tabela1[[#This Row],[Pressão 01
 (mca)]]-Tabela1[[#This Row],[Pressão 02
 (mca)]])</f>
        <v>2.4563215338957889E-2</v>
      </c>
      <c r="H7" s="73">
        <f ca="1">(Tabela1[[#This Row],[Diferença (mca)]]/Tabela1[[#This Row],[Pressão Média
(mca)]])*100</f>
        <v>0.16232772481443686</v>
      </c>
    </row>
    <row r="8" spans="1:8" x14ac:dyDescent="0.2">
      <c r="A8" s="78" t="s">
        <v>69</v>
      </c>
      <c r="B8" s="17">
        <v>63</v>
      </c>
      <c r="C8" s="17">
        <v>61</v>
      </c>
      <c r="D8" s="71">
        <f ca="1">VLOOKUP(Tabela1[[#This Row],[Trecho 01]],Dimensionamento!A:T,18)</f>
        <v>17.829419153681329</v>
      </c>
      <c r="E8" s="72">
        <f ca="1">VLOOKUP(Tabela1[[#This Row],[Trecho 02]],Dimensionamento!A:T,18)</f>
        <v>18.223854847450752</v>
      </c>
      <c r="F8" s="71">
        <f ca="1">(Tabela1[[#This Row],[Pressão 01
 (mca)]]+Tabela1[[#This Row],[Pressão 02
 (mca)]])/2</f>
        <v>18.026637000566041</v>
      </c>
      <c r="G8" s="72">
        <f ca="1">ABS(Tabela1[[#This Row],[Pressão 01
 (mca)]]-Tabela1[[#This Row],[Pressão 02
 (mca)]])</f>
        <v>0.39443569376942378</v>
      </c>
      <c r="H8" s="73">
        <f ca="1">(Tabela1[[#This Row],[Diferença (mca)]]/Tabela1[[#This Row],[Pressão Média
(mca)]])*100</f>
        <v>2.1880714287253822</v>
      </c>
    </row>
    <row r="9" spans="1:8" x14ac:dyDescent="0.2">
      <c r="A9" s="78" t="s">
        <v>70</v>
      </c>
      <c r="B9" s="17">
        <v>60</v>
      </c>
      <c r="C9" s="17">
        <v>65</v>
      </c>
      <c r="D9" s="71">
        <f ca="1">VLOOKUP(Tabela1[[#This Row],[Trecho 01]],Dimensionamento!A:T,18)</f>
        <v>20.191345972803674</v>
      </c>
      <c r="E9" s="72">
        <f ca="1">VLOOKUP(Tabela1[[#This Row],[Trecho 02]],Dimensionamento!A:T,18)</f>
        <v>19.750134808572398</v>
      </c>
      <c r="F9" s="71">
        <f ca="1">(Tabela1[[#This Row],[Pressão 01
 (mca)]]+Tabela1[[#This Row],[Pressão 02
 (mca)]])/2</f>
        <v>19.970740390688036</v>
      </c>
      <c r="G9" s="72">
        <f ca="1">ABS(Tabela1[[#This Row],[Pressão 01
 (mca)]]-Tabela1[[#This Row],[Pressão 02
 (mca)]])</f>
        <v>0.4412111642312766</v>
      </c>
      <c r="H9" s="73">
        <f ca="1">(Tabela1[[#This Row],[Diferença (mca)]]/Tabela1[[#This Row],[Pressão Média
(mca)]])*100</f>
        <v>2.2092879662939522</v>
      </c>
    </row>
    <row r="10" spans="1:8" x14ac:dyDescent="0.2">
      <c r="A10" s="78" t="s">
        <v>71</v>
      </c>
      <c r="B10" s="17">
        <v>10</v>
      </c>
      <c r="C10" s="17">
        <v>16</v>
      </c>
      <c r="D10" s="71">
        <f ca="1">VLOOKUP(Tabela1[[#This Row],[Trecho 01]],Dimensionamento!A:T,18)</f>
        <v>14.339230548875889</v>
      </c>
      <c r="E10" s="72">
        <f ca="1">VLOOKUP(Tabela1[[#This Row],[Trecho 02]],Dimensionamento!A:T,18)</f>
        <v>14.505581222266983</v>
      </c>
      <c r="F10" s="71">
        <f ca="1">(Tabela1[[#This Row],[Pressão 01
 (mca)]]+Tabela1[[#This Row],[Pressão 02
 (mca)]])/2</f>
        <v>14.422405885571436</v>
      </c>
      <c r="G10" s="72">
        <f ca="1">ABS(Tabela1[[#This Row],[Pressão 01
 (mca)]]-Tabela1[[#This Row],[Pressão 02
 (mca)]])</f>
        <v>0.16635067339109355</v>
      </c>
      <c r="H10" s="73">
        <f ca="1">(Tabela1[[#This Row],[Diferença (mca)]]/Tabela1[[#This Row],[Pressão Média
(mca)]])*100</f>
        <v>1.1534183319408258</v>
      </c>
    </row>
    <row r="11" spans="1:8" x14ac:dyDescent="0.2">
      <c r="A11" s="78" t="s">
        <v>72</v>
      </c>
      <c r="B11" s="17">
        <v>11</v>
      </c>
      <c r="C11" s="17">
        <v>18</v>
      </c>
      <c r="D11" s="71">
        <f ca="1">VLOOKUP(Tabela1[[#This Row],[Trecho 01]],Dimensionamento!A:T,18)</f>
        <v>15.051606768704801</v>
      </c>
      <c r="E11" s="72">
        <f ca="1">VLOOKUP(Tabela1[[#This Row],[Trecho 02]],Dimensionamento!A:T,18)</f>
        <v>14.651527475140711</v>
      </c>
      <c r="F11" s="71">
        <f ca="1">(Tabela1[[#This Row],[Pressão 01
 (mca)]]+Tabela1[[#This Row],[Pressão 02
 (mca)]])/2</f>
        <v>14.851567121922756</v>
      </c>
      <c r="G11" s="72">
        <f ca="1">ABS(Tabela1[[#This Row],[Pressão 01
 (mca)]]-Tabela1[[#This Row],[Pressão 02
 (mca)]])</f>
        <v>0.40007929356409022</v>
      </c>
      <c r="H11" s="73">
        <f ca="1">(Tabela1[[#This Row],[Diferença (mca)]]/Tabela1[[#This Row],[Pressão Média
(mca)]])*100</f>
        <v>2.693852374498066</v>
      </c>
    </row>
    <row r="12" spans="1:8" x14ac:dyDescent="0.2">
      <c r="A12" s="78" t="s">
        <v>73</v>
      </c>
      <c r="B12" s="17">
        <v>71</v>
      </c>
      <c r="C12" s="17">
        <v>117</v>
      </c>
      <c r="D12" s="71">
        <f ca="1">VLOOKUP(Tabela1[[#This Row],[Trecho 01]],Dimensionamento!A:T,18)</f>
        <v>15.397039898059802</v>
      </c>
      <c r="E12" s="71">
        <f ca="1">VLOOKUP(Tabela1[[#This Row],[Trecho 02]],Dimensionamento!A:T,18)</f>
        <v>15.001467893656695</v>
      </c>
      <c r="F12" s="71">
        <f ca="1">(Tabela1[[#This Row],[Pressão 01
 (mca)]]+Tabela1[[#This Row],[Pressão 02
 (mca)]])/2</f>
        <v>15.199253895858249</v>
      </c>
      <c r="G12" s="71">
        <f ca="1">ABS(Tabela1[[#This Row],[Pressão 01
 (mca)]]-Tabela1[[#This Row],[Pressão 02
 (mca)]])</f>
        <v>0.3955720044031068</v>
      </c>
      <c r="H12" s="73">
        <f ca="1">(Tabela1[[#This Row],[Diferença (mca)]]/Tabela1[[#This Row],[Pressão Média
(mca)]])*100</f>
        <v>2.6025751468688805</v>
      </c>
    </row>
    <row r="13" spans="1:8" x14ac:dyDescent="0.2">
      <c r="A13" s="92" t="s">
        <v>74</v>
      </c>
      <c r="B13" s="17">
        <v>64</v>
      </c>
      <c r="C13" s="17">
        <v>72</v>
      </c>
      <c r="D13" s="71">
        <f ca="1">VLOOKUP(Tabela1[[#This Row],[Trecho 01]],Dimensionamento!A:T,18)</f>
        <v>16.613528397533855</v>
      </c>
      <c r="E13" s="71">
        <f ca="1">VLOOKUP(Tabela1[[#This Row],[Trecho 02]],Dimensionamento!A:T,18)</f>
        <v>15.956085978587339</v>
      </c>
      <c r="F13" s="71">
        <f ca="1">(Tabela1[[#This Row],[Pressão 01
 (mca)]]+Tabela1[[#This Row],[Pressão 02
 (mca)]])/2</f>
        <v>16.284807188060597</v>
      </c>
      <c r="G13" s="71">
        <f ca="1">ABS(Tabela1[[#This Row],[Pressão 01
 (mca)]]-Tabela1[[#This Row],[Pressão 02
 (mca)]])</f>
        <v>0.65744241894651623</v>
      </c>
      <c r="H13" s="73">
        <f ca="1">(Tabela1[[#This Row],[Diferença (mca)]]/Tabela1[[#This Row],[Pressão Média
(mca)]])*100</f>
        <v>4.0371519991254674</v>
      </c>
    </row>
    <row r="14" spans="1:8" ht="15" customHeight="1" x14ac:dyDescent="0.2">
      <c r="A14" s="91" t="s">
        <v>75</v>
      </c>
      <c r="B14" s="17">
        <v>67</v>
      </c>
      <c r="C14" s="17">
        <v>75</v>
      </c>
      <c r="D14" s="71">
        <f ca="1">VLOOKUP(Tabela1[[#This Row],[Trecho 01]],Dimensionamento!A:T,18)</f>
        <v>19.83056393041204</v>
      </c>
      <c r="E14" s="71">
        <f ca="1">VLOOKUP(Tabela1[[#This Row],[Trecho 02]],Dimensionamento!A:T,18)</f>
        <v>18.873729692125607</v>
      </c>
      <c r="F14" s="71">
        <f ca="1">(Tabela1[[#This Row],[Pressão 01
 (mca)]]+Tabela1[[#This Row],[Pressão 02
 (mca)]])/2</f>
        <v>19.352146811268824</v>
      </c>
      <c r="G14" s="71">
        <f ca="1">ABS(Tabela1[[#This Row],[Pressão 01
 (mca)]]-Tabela1[[#This Row],[Pressão 02
 (mca)]])</f>
        <v>0.95683423828643299</v>
      </c>
      <c r="H14" s="73">
        <f ca="1">(Tabela1[[#This Row],[Diferença (mca)]]/Tabela1[[#This Row],[Pressão Média
(mca)]])*100</f>
        <v>4.9443312290772052</v>
      </c>
    </row>
    <row r="15" spans="1:8" x14ac:dyDescent="0.2">
      <c r="A15" s="78" t="s">
        <v>76</v>
      </c>
      <c r="B15" s="17">
        <v>15</v>
      </c>
      <c r="C15" s="17">
        <v>21</v>
      </c>
      <c r="D15" s="71">
        <f ca="1">VLOOKUP(Tabela1[[#This Row],[Trecho 01]],Dimensionamento!A:T,18)</f>
        <v>16.880594512827884</v>
      </c>
      <c r="E15" s="71">
        <f ca="1">VLOOKUP(Tabela1[[#This Row],[Trecho 02]],Dimensionamento!A:T,18)</f>
        <v>16.888722168001891</v>
      </c>
      <c r="F15" s="71">
        <f ca="1">(Tabela1[[#This Row],[Pressão 01
 (mca)]]+Tabela1[[#This Row],[Pressão 02
 (mca)]])/2</f>
        <v>16.884658340414887</v>
      </c>
      <c r="G15" s="71">
        <f ca="1">ABS(Tabela1[[#This Row],[Pressão 01
 (mca)]]-Tabela1[[#This Row],[Pressão 02
 (mca)]])</f>
        <v>8.1276551740074865E-3</v>
      </c>
      <c r="H15" s="73">
        <f ca="1">(Tabela1[[#This Row],[Diferença (mca)]]/Tabela1[[#This Row],[Pressão Média
(mca)]])*100</f>
        <v>4.8136331870886853E-2</v>
      </c>
    </row>
    <row r="16" spans="1:8" x14ac:dyDescent="0.2">
      <c r="A16" s="78" t="s">
        <v>77</v>
      </c>
      <c r="B16" s="17">
        <v>17</v>
      </c>
      <c r="C16" s="17">
        <v>22</v>
      </c>
      <c r="D16" s="71">
        <f ca="1">VLOOKUP(Tabela1[[#This Row],[Trecho 01]],Dimensionamento!A:T,18)</f>
        <v>16.425463310702526</v>
      </c>
      <c r="E16" s="71">
        <f ca="1">VLOOKUP(Tabela1[[#This Row],[Trecho 02]],Dimensionamento!A:T,18)</f>
        <v>16.433590965876533</v>
      </c>
      <c r="F16" s="71">
        <f ca="1">(Tabela1[[#This Row],[Pressão 01
 (mca)]]+Tabela1[[#This Row],[Pressão 02
 (mca)]])/2</f>
        <v>16.429527138289529</v>
      </c>
      <c r="G16" s="71">
        <f ca="1">ABS(Tabela1[[#This Row],[Pressão 01
 (mca)]]-Tabela1[[#This Row],[Pressão 02
 (mca)]])</f>
        <v>8.1276551740074865E-3</v>
      </c>
      <c r="H16" s="73">
        <f ca="1">(Tabela1[[#This Row],[Diferença (mca)]]/Tabela1[[#This Row],[Pressão Média
(mca)]])*100</f>
        <v>4.9469805829443082E-2</v>
      </c>
    </row>
    <row r="17" spans="1:8" x14ac:dyDescent="0.2">
      <c r="A17" s="78" t="s">
        <v>78</v>
      </c>
      <c r="B17" s="17">
        <v>19</v>
      </c>
      <c r="C17" s="17">
        <v>23</v>
      </c>
      <c r="D17" s="71">
        <f ca="1">VLOOKUP(Tabela1[[#This Row],[Trecho 01]],Dimensionamento!A:T,18)</f>
        <v>15.61212521846744</v>
      </c>
      <c r="E17" s="71">
        <f ca="1">VLOOKUP(Tabela1[[#This Row],[Trecho 02]],Dimensionamento!A:T,18)</f>
        <v>15.987751733793061</v>
      </c>
      <c r="F17" s="71">
        <f ca="1">(Tabela1[[#This Row],[Pressão 01
 (mca)]]+Tabela1[[#This Row],[Pressão 02
 (mca)]])/2</f>
        <v>15.799938476130251</v>
      </c>
      <c r="G17" s="71">
        <f ca="1">ABS(Tabela1[[#This Row],[Pressão 01
 (mca)]]-Tabela1[[#This Row],[Pressão 02
 (mca)]])</f>
        <v>0.37562651532562086</v>
      </c>
      <c r="H17" s="73">
        <f ca="1">(Tabela1[[#This Row],[Diferença (mca)]]/Tabela1[[#This Row],[Pressão Média
(mca)]])*100</f>
        <v>2.3773922657553284</v>
      </c>
    </row>
    <row r="18" spans="1:8" x14ac:dyDescent="0.2">
      <c r="A18" s="91" t="s">
        <v>16</v>
      </c>
      <c r="B18" s="17">
        <v>74</v>
      </c>
      <c r="C18" s="17">
        <v>79</v>
      </c>
      <c r="D18" s="71">
        <f ca="1">VLOOKUP(Tabela1[[#This Row],[Trecho 01]],Dimensionamento!A:T,18)</f>
        <v>16.366683721914001</v>
      </c>
      <c r="E18" s="71">
        <f ca="1">VLOOKUP(Tabela1[[#This Row],[Trecho 02]],Dimensionamento!A:T,18)</f>
        <v>16.36683390549274</v>
      </c>
      <c r="F18" s="71">
        <f ca="1">(Tabela1[[#This Row],[Pressão 01
 (mca)]]+Tabela1[[#This Row],[Pressão 02
 (mca)]])/2</f>
        <v>16.36675881370337</v>
      </c>
      <c r="G18" s="71">
        <f ca="1">ABS(Tabela1[[#This Row],[Pressão 01
 (mca)]]-Tabela1[[#This Row],[Pressão 02
 (mca)]])</f>
        <v>1.5018357873941568E-4</v>
      </c>
      <c r="H18" s="73">
        <f ca="1">(Tabela1[[#This Row],[Diferença (mca)]]/Tabela1[[#This Row],[Pressão Média
(mca)]])*100</f>
        <v>9.1761344105389833E-4</v>
      </c>
    </row>
    <row r="19" spans="1:8" x14ac:dyDescent="0.2">
      <c r="A19" s="92" t="s">
        <v>79</v>
      </c>
      <c r="B19" s="17">
        <v>76</v>
      </c>
      <c r="C19" s="17">
        <v>80</v>
      </c>
      <c r="D19" s="71">
        <f ca="1">VLOOKUP(Tabela1[[#This Row],[Trecho 01]],Dimensionamento!A:T,18)</f>
        <v>17.110992054685312</v>
      </c>
      <c r="E19" s="71">
        <f ca="1">VLOOKUP(Tabela1[[#This Row],[Trecho 02]],Dimensionamento!A:T,18)</f>
        <v>16.965824132500302</v>
      </c>
      <c r="F19" s="71">
        <f ca="1">(Tabela1[[#This Row],[Pressão 01
 (mca)]]+Tabela1[[#This Row],[Pressão 02
 (mca)]])/2</f>
        <v>17.038408093592807</v>
      </c>
      <c r="G19" s="71">
        <f ca="1">ABS(Tabela1[[#This Row],[Pressão 01
 (mca)]]-Tabela1[[#This Row],[Pressão 02
 (mca)]])</f>
        <v>0.14516792218500996</v>
      </c>
      <c r="H19" s="73">
        <f ca="1">(Tabela1[[#This Row],[Diferença (mca)]]/Tabela1[[#This Row],[Pressão Média
(mca)]])*100</f>
        <v>0.85200402166443878</v>
      </c>
    </row>
    <row r="20" spans="1:8" x14ac:dyDescent="0.2">
      <c r="A20" s="91" t="s">
        <v>80</v>
      </c>
      <c r="B20" s="17">
        <v>77</v>
      </c>
      <c r="C20" s="17">
        <v>81</v>
      </c>
      <c r="D20" s="71">
        <f ca="1">VLOOKUP(Tabela1[[#This Row],[Trecho 01]],Dimensionamento!A:T,18)</f>
        <v>18.974327435452324</v>
      </c>
      <c r="E20" s="71">
        <f ca="1">VLOOKUP(Tabela1[[#This Row],[Trecho 02]],Dimensionamento!A:T,18)</f>
        <v>18.619487892220945</v>
      </c>
      <c r="F20" s="71">
        <f ca="1">(Tabela1[[#This Row],[Pressão 01
 (mca)]]+Tabela1[[#This Row],[Pressão 02
 (mca)]])/2</f>
        <v>18.796907663836635</v>
      </c>
      <c r="G20" s="71">
        <f ca="1">ABS(Tabela1[[#This Row],[Pressão 01
 (mca)]]-Tabela1[[#This Row],[Pressão 02
 (mca)]])</f>
        <v>0.35483954323137823</v>
      </c>
      <c r="H20" s="73">
        <f ca="1">(Tabela1[[#This Row],[Diferença (mca)]]/Tabela1[[#This Row],[Pressão Média
(mca)]])*100</f>
        <v>1.8877548880769039</v>
      </c>
    </row>
    <row r="21" spans="1:8" x14ac:dyDescent="0.2">
      <c r="A21" s="78" t="s">
        <v>81</v>
      </c>
      <c r="B21" s="17">
        <v>68</v>
      </c>
      <c r="C21" s="17">
        <v>82</v>
      </c>
      <c r="D21" s="71">
        <f ca="1">VLOOKUP(Tabela1[[#This Row],[Trecho 01]],Dimensionamento!A:T,18)</f>
        <v>23.219124908625872</v>
      </c>
      <c r="E21" s="71">
        <f ca="1">VLOOKUP(Tabela1[[#This Row],[Trecho 02]],Dimensionamento!A:T,18)</f>
        <v>22.262290670339439</v>
      </c>
      <c r="F21" s="71">
        <f ca="1">(Tabela1[[#This Row],[Pressão 01
 (mca)]]+Tabela1[[#This Row],[Pressão 02
 (mca)]])/2</f>
        <v>22.740707789482656</v>
      </c>
      <c r="G21" s="71">
        <f ca="1">ABS(Tabela1[[#This Row],[Pressão 01
 (mca)]]-Tabela1[[#This Row],[Pressão 02
 (mca)]])</f>
        <v>0.95683423828643299</v>
      </c>
      <c r="H21" s="73">
        <f ca="1">(Tabela1[[#This Row],[Diferença (mca)]]/Tabela1[[#This Row],[Pressão Média
(mca)]])*100</f>
        <v>4.2075833661121091</v>
      </c>
    </row>
    <row r="22" spans="1:8" x14ac:dyDescent="0.2">
      <c r="A22" s="78" t="s">
        <v>82</v>
      </c>
      <c r="B22" s="17">
        <v>70</v>
      </c>
      <c r="C22" s="17">
        <v>83</v>
      </c>
      <c r="D22" s="71">
        <f ca="1">VLOOKUP(Tabela1[[#This Row],[Trecho 01]],Dimensionamento!A:T,18)</f>
        <v>24.588342866234257</v>
      </c>
      <c r="E22" s="71">
        <f ca="1">VLOOKUP(Tabela1[[#This Row],[Trecho 02]],Dimensionamento!A:T,18)</f>
        <v>24.588342866234257</v>
      </c>
      <c r="F22" s="71">
        <f ca="1">(Tabela1[[#This Row],[Pressão 01
 (mca)]]+Tabela1[[#This Row],[Pressão 02
 (mca)]])/2</f>
        <v>24.588342866234257</v>
      </c>
      <c r="G22" s="71">
        <f ca="1">ABS(Tabela1[[#This Row],[Pressão 01
 (mca)]]-Tabela1[[#This Row],[Pressão 02
 (mca)]])</f>
        <v>0</v>
      </c>
      <c r="H22" s="73">
        <f ca="1">(Tabela1[[#This Row],[Diferença (mca)]]/Tabela1[[#This Row],[Pressão Média
(mca)]])*100</f>
        <v>0</v>
      </c>
    </row>
    <row r="23" spans="1:8" x14ac:dyDescent="0.2">
      <c r="A23" s="78" t="s">
        <v>83</v>
      </c>
      <c r="B23" s="17">
        <v>123</v>
      </c>
      <c r="C23" s="17">
        <v>86</v>
      </c>
      <c r="D23" s="71">
        <f ca="1">VLOOKUP(Tabela1[[#This Row],[Trecho 01]],Dimensionamento!A:T,18)</f>
        <v>17.199604209633662</v>
      </c>
      <c r="E23" s="71">
        <f ca="1">VLOOKUP(Tabela1[[#This Row],[Trecho 02]],Dimensionamento!A:T,18)</f>
        <v>17.622181188083118</v>
      </c>
      <c r="F23" s="71">
        <f ca="1">(Tabela1[[#This Row],[Pressão 01
 (mca)]]+Tabela1[[#This Row],[Pressão 02
 (mca)]])/2</f>
        <v>17.41089269885839</v>
      </c>
      <c r="G23" s="71">
        <f ca="1">ABS(Tabela1[[#This Row],[Pressão 01
 (mca)]]-Tabela1[[#This Row],[Pressão 02
 (mca)]])</f>
        <v>0.42257697844945596</v>
      </c>
      <c r="H23" s="73">
        <f ca="1">(Tabela1[[#This Row],[Diferença (mca)]]/Tabela1[[#This Row],[Pressão Média
(mca)]])*100</f>
        <v>2.4270839281960757</v>
      </c>
    </row>
    <row r="24" spans="1:8" x14ac:dyDescent="0.2">
      <c r="A24" s="78" t="s">
        <v>84</v>
      </c>
      <c r="B24" s="17">
        <v>121</v>
      </c>
      <c r="C24" s="17">
        <v>28</v>
      </c>
      <c r="D24" s="71">
        <f ca="1">VLOOKUP(Tabela1[[#This Row],[Trecho 01]],Dimensionamento!A:T,18)</f>
        <v>17.547944230664484</v>
      </c>
      <c r="E24" s="71">
        <f ca="1">VLOOKUP(Tabela1[[#This Row],[Trecho 02]],Dimensionamento!A:T,18)</f>
        <v>17.3108840191436</v>
      </c>
      <c r="F24" s="71">
        <f ca="1">(Tabela1[[#This Row],[Pressão 01
 (mca)]]+Tabela1[[#This Row],[Pressão 02
 (mca)]])/2</f>
        <v>17.429414124904042</v>
      </c>
      <c r="G24" s="71">
        <f ca="1">ABS(Tabela1[[#This Row],[Pressão 01
 (mca)]]-Tabela1[[#This Row],[Pressão 02
 (mca)]])</f>
        <v>0.23706021152088397</v>
      </c>
      <c r="H24" s="73">
        <f ca="1">(Tabela1[[#This Row],[Diferença (mca)]]/Tabela1[[#This Row],[Pressão Média
(mca)]])*100</f>
        <v>1.3601157779719064</v>
      </c>
    </row>
    <row r="25" spans="1:8" x14ac:dyDescent="0.2">
      <c r="A25" s="78" t="s">
        <v>85</v>
      </c>
      <c r="B25" s="17">
        <v>87</v>
      </c>
      <c r="C25" s="17">
        <v>100</v>
      </c>
      <c r="D25" s="71">
        <f ca="1">VLOOKUP(Tabela1[[#This Row],[Trecho 01]],Dimensionamento!A:T,18)</f>
        <v>17.47183331223232</v>
      </c>
      <c r="E25" s="71">
        <f ca="1">VLOOKUP(Tabela1[[#This Row],[Trecho 02]],Dimensionamento!A:T,18)</f>
        <v>17.327285136363571</v>
      </c>
      <c r="F25" s="71">
        <f ca="1">(Tabela1[[#This Row],[Pressão 01
 (mca)]]+Tabela1[[#This Row],[Pressão 02
 (mca)]])/2</f>
        <v>17.399559224297946</v>
      </c>
      <c r="G25" s="71">
        <f ca="1">ABS(Tabela1[[#This Row],[Pressão 01
 (mca)]]-Tabela1[[#This Row],[Pressão 02
 (mca)]])</f>
        <v>0.14454817586874924</v>
      </c>
      <c r="H25" s="73">
        <f ca="1">(Tabela1[[#This Row],[Diferença (mca)]]/Tabela1[[#This Row],[Pressão Média
(mca)]])*100</f>
        <v>0.83075768762516811</v>
      </c>
    </row>
    <row r="26" spans="1:8" x14ac:dyDescent="0.2">
      <c r="A26" s="78" t="s">
        <v>86</v>
      </c>
      <c r="B26" s="17">
        <v>88</v>
      </c>
      <c r="C26" s="17">
        <v>101</v>
      </c>
      <c r="D26" s="71">
        <f ca="1">VLOOKUP(Tabela1[[#This Row],[Trecho 01]],Dimensionamento!A:T,18)</f>
        <v>18.070113896180032</v>
      </c>
      <c r="E26" s="71">
        <f ca="1">VLOOKUP(Tabela1[[#This Row],[Trecho 02]],Dimensionamento!A:T,18)</f>
        <v>18.348142698760739</v>
      </c>
      <c r="F26" s="71">
        <f ca="1">(Tabela1[[#This Row],[Pressão 01
 (mca)]]+Tabela1[[#This Row],[Pressão 02
 (mca)]])/2</f>
        <v>18.209128297470386</v>
      </c>
      <c r="G26" s="71">
        <f ca="1">ABS(Tabela1[[#This Row],[Pressão 01
 (mca)]]-Tabela1[[#This Row],[Pressão 02
 (mca)]])</f>
        <v>0.27802880258070672</v>
      </c>
      <c r="H26" s="73">
        <f ca="1">(Tabela1[[#This Row],[Diferença (mca)]]/Tabela1[[#This Row],[Pressão Média
(mca)]])*100</f>
        <v>1.5268649769430782</v>
      </c>
    </row>
    <row r="27" spans="1:8" x14ac:dyDescent="0.2">
      <c r="A27" s="78" t="s">
        <v>87</v>
      </c>
      <c r="B27" s="17">
        <v>29</v>
      </c>
      <c r="C27" s="17">
        <v>35</v>
      </c>
      <c r="D27" s="71">
        <f ca="1">VLOOKUP(Tabela1[[#This Row],[Trecho 01]],Dimensionamento!A:T,18)</f>
        <v>18.072165796486843</v>
      </c>
      <c r="E27" s="71">
        <f ca="1">VLOOKUP(Tabela1[[#This Row],[Trecho 02]],Dimensionamento!A:T,18)</f>
        <v>17.875084233007556</v>
      </c>
      <c r="F27" s="71">
        <f ca="1">(Tabela1[[#This Row],[Pressão 01
 (mca)]]+Tabela1[[#This Row],[Pressão 02
 (mca)]])/2</f>
        <v>17.973625014747199</v>
      </c>
      <c r="G27" s="71">
        <f ca="1">ABS(Tabela1[[#This Row],[Pressão 01
 (mca)]]-Tabela1[[#This Row],[Pressão 02
 (mca)]])</f>
        <v>0.19708156347928707</v>
      </c>
      <c r="H27" s="73">
        <f ca="1">(Tabela1[[#This Row],[Diferença (mca)]]/Tabela1[[#This Row],[Pressão Média
(mca)]])*100</f>
        <v>1.0965042573080466</v>
      </c>
    </row>
    <row r="28" spans="1:8" x14ac:dyDescent="0.2">
      <c r="A28" s="78" t="s">
        <v>88</v>
      </c>
      <c r="B28" s="17">
        <v>30</v>
      </c>
      <c r="C28" s="17">
        <v>37</v>
      </c>
      <c r="D28" s="71">
        <f ca="1">VLOOKUP(Tabela1[[#This Row],[Trecho 01]],Dimensionamento!A:T,18)</f>
        <v>17.932905447319627</v>
      </c>
      <c r="E28" s="71">
        <f ca="1">VLOOKUP(Tabela1[[#This Row],[Trecho 02]],Dimensionamento!A:T,18)</f>
        <v>17.735823883840339</v>
      </c>
      <c r="F28" s="71">
        <f ca="1">(Tabela1[[#This Row],[Pressão 01
 (mca)]]+Tabela1[[#This Row],[Pressão 02
 (mca)]])/2</f>
        <v>17.834364665579983</v>
      </c>
      <c r="G28" s="71">
        <f ca="1">ABS(Tabela1[[#This Row],[Pressão 01
 (mca)]]-Tabela1[[#This Row],[Pressão 02
 (mca)]])</f>
        <v>0.19708156347928707</v>
      </c>
      <c r="H28" s="73">
        <f ca="1">(Tabela1[[#This Row],[Diferença (mca)]]/Tabela1[[#This Row],[Pressão Média
(mca)]])*100</f>
        <v>1.105066354618458</v>
      </c>
    </row>
    <row r="29" spans="1:8" x14ac:dyDescent="0.2">
      <c r="A29" s="78" t="s">
        <v>89</v>
      </c>
      <c r="B29" s="17">
        <v>92</v>
      </c>
      <c r="C29" s="17">
        <v>96</v>
      </c>
      <c r="D29" s="71">
        <f ca="1">VLOOKUP(Tabela1[[#This Row],[Trecho 01]],Dimensionamento!A:T,18)</f>
        <v>22.228160996642146</v>
      </c>
      <c r="E29" s="71">
        <f ca="1">VLOOKUP(Tabela1[[#This Row],[Trecho 02]],Dimensionamento!A:T,18)</f>
        <v>22.13550631588123</v>
      </c>
      <c r="F29" s="71">
        <f ca="1">(Tabela1[[#This Row],[Pressão 01
 (mca)]]+Tabela1[[#This Row],[Pressão 02
 (mca)]])/2</f>
        <v>22.181833656261688</v>
      </c>
      <c r="G29" s="71">
        <f ca="1">ABS(Tabela1[[#This Row],[Pressão 01
 (mca)]]-Tabela1[[#This Row],[Pressão 02
 (mca)]])</f>
        <v>9.2654680760915653E-2</v>
      </c>
      <c r="H29" s="73">
        <f ca="1">(Tabela1[[#This Row],[Diferença (mca)]]/Tabela1[[#This Row],[Pressão Média
(mca)]])*100</f>
        <v>0.41770523662168146</v>
      </c>
    </row>
    <row r="30" spans="1:8" x14ac:dyDescent="0.2">
      <c r="A30" s="78" t="s">
        <v>90</v>
      </c>
      <c r="B30" s="17">
        <v>105</v>
      </c>
      <c r="C30" s="17">
        <v>102</v>
      </c>
      <c r="D30" s="71">
        <f ca="1">VLOOKUP(Tabela1[[#This Row],[Trecho 01]],Dimensionamento!A:T,18)</f>
        <v>18.547146711979167</v>
      </c>
      <c r="E30" s="71">
        <f ca="1">VLOOKUP(Tabela1[[#This Row],[Trecho 02]],Dimensionamento!A:T,18)</f>
        <v>18.362251942613284</v>
      </c>
      <c r="F30" s="71">
        <f ca="1">(Tabela1[[#This Row],[Pressão 01
 (mca)]]+Tabela1[[#This Row],[Pressão 02
 (mca)]])/2</f>
        <v>18.454699327296225</v>
      </c>
      <c r="G30" s="71">
        <f ca="1">ABS(Tabela1[[#This Row],[Pressão 01
 (mca)]]-Tabela1[[#This Row],[Pressão 02
 (mca)]])</f>
        <v>0.18489476936588289</v>
      </c>
      <c r="H30" s="73">
        <f ca="1">(Tabela1[[#This Row],[Diferença (mca)]]/Tabela1[[#This Row],[Pressão Média
(mca)]])*100</f>
        <v>1.001884485283411</v>
      </c>
    </row>
    <row r="31" spans="1:8" x14ac:dyDescent="0.2">
      <c r="A31" s="78" t="s">
        <v>91</v>
      </c>
      <c r="B31" s="17">
        <v>103</v>
      </c>
      <c r="C31" s="17">
        <v>106</v>
      </c>
      <c r="D31" s="71">
        <f ca="1">VLOOKUP(Tabela1[[#This Row],[Trecho 01]],Dimensionamento!A:T,18)</f>
        <v>19.61310950501047</v>
      </c>
      <c r="E31" s="71">
        <f ca="1">VLOOKUP(Tabela1[[#This Row],[Trecho 02]],Dimensionamento!A:T,18)</f>
        <v>19.798004274376353</v>
      </c>
      <c r="F31" s="71">
        <f ca="1">(Tabela1[[#This Row],[Pressão 01
 (mca)]]+Tabela1[[#This Row],[Pressão 02
 (mca)]])/2</f>
        <v>19.705556889693412</v>
      </c>
      <c r="G31" s="71">
        <f ca="1">ABS(Tabela1[[#This Row],[Pressão 01
 (mca)]]-Tabela1[[#This Row],[Pressão 02
 (mca)]])</f>
        <v>0.18489476936588289</v>
      </c>
      <c r="H31" s="73">
        <f ca="1">(Tabela1[[#This Row],[Diferença (mca)]]/Tabela1[[#This Row],[Pressão Média
(mca)]])*100</f>
        <v>0.9382874607445798</v>
      </c>
    </row>
    <row r="32" spans="1:8" x14ac:dyDescent="0.2">
      <c r="A32" s="78" t="s">
        <v>92</v>
      </c>
      <c r="B32" s="17">
        <v>41</v>
      </c>
      <c r="C32" s="17">
        <v>36</v>
      </c>
      <c r="D32" s="71">
        <f ca="1">VLOOKUP(Tabela1[[#This Row],[Trecho 01]],Dimensionamento!A:T,18)</f>
        <v>19.189802363666558</v>
      </c>
      <c r="E32" s="71">
        <f ca="1">VLOOKUP(Tabela1[[#This Row],[Trecho 02]],Dimensionamento!A:T,18)</f>
        <v>19.153684544099747</v>
      </c>
      <c r="F32" s="71">
        <f ca="1">(Tabela1[[#This Row],[Pressão 01
 (mca)]]+Tabela1[[#This Row],[Pressão 02
 (mca)]])/2</f>
        <v>19.171743453883153</v>
      </c>
      <c r="G32" s="71">
        <f ca="1">ABS(Tabela1[[#This Row],[Pressão 01
 (mca)]]-Tabela1[[#This Row],[Pressão 02
 (mca)]])</f>
        <v>3.6117819566811704E-2</v>
      </c>
      <c r="H32" s="73">
        <f ca="1">(Tabela1[[#This Row],[Diferença (mca)]]/Tabela1[[#This Row],[Pressão Média
(mca)]])*100</f>
        <v>0.18839089753986979</v>
      </c>
    </row>
    <row r="33" spans="1:8" x14ac:dyDescent="0.2">
      <c r="A33" s="78" t="s">
        <v>93</v>
      </c>
      <c r="B33" s="17">
        <v>38</v>
      </c>
      <c r="C33" s="17">
        <v>42</v>
      </c>
      <c r="D33" s="71">
        <f ca="1">VLOOKUP(Tabela1[[#This Row],[Trecho 01]],Dimensionamento!A:T,18)</f>
        <v>18.877845312016348</v>
      </c>
      <c r="E33" s="71">
        <f ca="1">VLOOKUP(Tabela1[[#This Row],[Trecho 02]],Dimensionamento!A:T,18)</f>
        <v>18.935713370342114</v>
      </c>
      <c r="F33" s="71">
        <f ca="1">(Tabela1[[#This Row],[Pressão 01
 (mca)]]+Tabela1[[#This Row],[Pressão 02
 (mca)]])/2</f>
        <v>18.906779341179231</v>
      </c>
      <c r="G33" s="71">
        <f ca="1">ABS(Tabela1[[#This Row],[Pressão 01
 (mca)]]-Tabela1[[#This Row],[Pressão 02
 (mca)]])</f>
        <v>5.7868058325766469E-2</v>
      </c>
      <c r="H33" s="73">
        <f ca="1">(Tabela1[[#This Row],[Diferença (mca)]]/Tabela1[[#This Row],[Pressão Média
(mca)]])*100</f>
        <v>0.3060704167617222</v>
      </c>
    </row>
    <row r="34" spans="1:8" x14ac:dyDescent="0.2">
      <c r="A34" s="78" t="s">
        <v>94</v>
      </c>
      <c r="B34" s="17">
        <v>108</v>
      </c>
      <c r="C34" s="17">
        <v>120</v>
      </c>
      <c r="D34" s="71">
        <f ca="1">VLOOKUP(Tabela1[[#This Row],[Trecho 01]],Dimensionamento!A:T,18)</f>
        <v>18.856646977027594</v>
      </c>
      <c r="E34" s="71">
        <f ca="1">VLOOKUP(Tabela1[[#This Row],[Trecho 02]],Dimensionamento!A:T,18)</f>
        <v>19.01084900087676</v>
      </c>
      <c r="F34" s="71">
        <f ca="1">(Tabela1[[#This Row],[Pressão 01
 (mca)]]+Tabela1[[#This Row],[Pressão 02
 (mca)]])/2</f>
        <v>18.933747988952177</v>
      </c>
      <c r="G34" s="71">
        <f ca="1">ABS(Tabela1[[#This Row],[Pressão 01
 (mca)]]-Tabela1[[#This Row],[Pressão 02
 (mca)]])</f>
        <v>0.15420202384916593</v>
      </c>
      <c r="H34" s="73">
        <f ca="1">(Tabela1[[#This Row],[Diferença (mca)]]/Tabela1[[#This Row],[Pressão Média
(mca)]])*100</f>
        <v>0.81442947238519625</v>
      </c>
    </row>
    <row r="35" spans="1:8" x14ac:dyDescent="0.2">
      <c r="A35" s="78" t="s">
        <v>95</v>
      </c>
      <c r="B35" s="17">
        <v>107</v>
      </c>
      <c r="C35" s="17">
        <v>110</v>
      </c>
      <c r="D35" s="71">
        <f ca="1">VLOOKUP(Tabela1[[#This Row],[Trecho 01]],Dimensionamento!A:T,18)</f>
        <v>20.894134946404961</v>
      </c>
      <c r="E35" s="71">
        <f ca="1">VLOOKUP(Tabela1[[#This Row],[Trecho 02]],Dimensionamento!A:T,18)</f>
        <v>20.863442200888244</v>
      </c>
      <c r="F35" s="71">
        <f ca="1">(Tabela1[[#This Row],[Pressão 01
 (mca)]]+Tabela1[[#This Row],[Pressão 02
 (mca)]])/2</f>
        <v>20.878788573646602</v>
      </c>
      <c r="G35" s="71">
        <f ca="1">ABS(Tabela1[[#This Row],[Pressão 01
 (mca)]]-Tabela1[[#This Row],[Pressão 02
 (mca)]])</f>
        <v>3.0692745516716968E-2</v>
      </c>
      <c r="H35" s="73">
        <f ca="1">(Tabela1[[#This Row],[Diferença (mca)]]/Tabela1[[#This Row],[Pressão Média
(mca)]])*100</f>
        <v>0.14700443662453497</v>
      </c>
    </row>
    <row r="36" spans="1:8" x14ac:dyDescent="0.2">
      <c r="A36" s="78" t="s">
        <v>96</v>
      </c>
      <c r="B36" s="17">
        <v>43</v>
      </c>
      <c r="C36" s="17">
        <v>47</v>
      </c>
      <c r="D36" s="71">
        <f ca="1">VLOOKUP(Tabela1[[#This Row],[Trecho 01]],Dimensionamento!A:T,18)</f>
        <v>20.391823791842626</v>
      </c>
      <c r="E36" s="71">
        <f ca="1">VLOOKUP(Tabela1[[#This Row],[Trecho 02]],Dimensionamento!A:T,18)</f>
        <v>20.779684475853173</v>
      </c>
      <c r="F36" s="71">
        <f ca="1">(Tabela1[[#This Row],[Pressão 01
 (mca)]]+Tabela1[[#This Row],[Pressão 02
 (mca)]])/2</f>
        <v>20.5857541338479</v>
      </c>
      <c r="G36" s="71">
        <f ca="1">ABS(Tabela1[[#This Row],[Pressão 01
 (mca)]]-Tabela1[[#This Row],[Pressão 02
 (mca)]])</f>
        <v>0.38786068401054763</v>
      </c>
      <c r="H36" s="73">
        <f ca="1">(Tabela1[[#This Row],[Diferença (mca)]]/Tabela1[[#This Row],[Pressão Média
(mca)]])*100</f>
        <v>1.8841218130202575</v>
      </c>
    </row>
    <row r="37" spans="1:8" x14ac:dyDescent="0.2">
      <c r="A37" s="78" t="s">
        <v>97</v>
      </c>
      <c r="B37" s="17">
        <v>44</v>
      </c>
      <c r="C37" s="17">
        <v>48</v>
      </c>
      <c r="D37" s="71">
        <f ca="1">VLOOKUP(Tabela1[[#This Row],[Trecho 01]],Dimensionamento!A:T,18)</f>
        <v>20.207734798518118</v>
      </c>
      <c r="E37" s="71">
        <f ca="1">VLOOKUP(Tabela1[[#This Row],[Trecho 02]],Dimensionamento!A:T,18)</f>
        <v>20.573845243769597</v>
      </c>
      <c r="F37" s="71">
        <f ca="1">(Tabela1[[#This Row],[Pressão 01
 (mca)]]+Tabela1[[#This Row],[Pressão 02
 (mca)]])/2</f>
        <v>20.390790021143857</v>
      </c>
      <c r="G37" s="71">
        <f ca="1">ABS(Tabela1[[#This Row],[Pressão 01
 (mca)]]-Tabela1[[#This Row],[Pressão 02
 (mca)]])</f>
        <v>0.36611044525147918</v>
      </c>
      <c r="H37" s="73">
        <f ca="1">(Tabela1[[#This Row],[Diferença (mca)]]/Tabela1[[#This Row],[Pressão Média
(mca)]])*100</f>
        <v>1.7954696452263381</v>
      </c>
    </row>
    <row r="38" spans="1:8" x14ac:dyDescent="0.2">
      <c r="A38" s="78" t="s">
        <v>98</v>
      </c>
      <c r="B38" s="17">
        <v>98</v>
      </c>
      <c r="C38" s="17">
        <v>94</v>
      </c>
      <c r="D38" s="71">
        <f ca="1">VLOOKUP(Tabela1[[#This Row],[Trecho 01]],Dimensionamento!A:T,18)</f>
        <v>24.310186026116526</v>
      </c>
      <c r="E38" s="71">
        <f ca="1">VLOOKUP(Tabela1[[#This Row],[Trecho 02]],Dimensionamento!A:T,18)</f>
        <v>24.32970048855168</v>
      </c>
      <c r="F38" s="71">
        <f ca="1">(Tabela1[[#This Row],[Pressão 01
 (mca)]]+Tabela1[[#This Row],[Pressão 02
 (mca)]])/2</f>
        <v>24.319943257334103</v>
      </c>
      <c r="G38" s="71">
        <f ca="1">ABS(Tabela1[[#This Row],[Pressão 01
 (mca)]]-Tabela1[[#This Row],[Pressão 02
 (mca)]])</f>
        <v>1.9514462435154201E-2</v>
      </c>
      <c r="H38" s="73">
        <f ca="1">(Tabela1[[#This Row],[Diferença (mca)]]/Tabela1[[#This Row],[Pressão Média
(mca)]])*100</f>
        <v>8.0240575517252805E-2</v>
      </c>
    </row>
    <row r="39" spans="1:8" x14ac:dyDescent="0.2">
      <c r="A39" s="78" t="s">
        <v>99</v>
      </c>
      <c r="B39" s="17">
        <v>111</v>
      </c>
      <c r="C39" s="17">
        <v>114</v>
      </c>
      <c r="D39" s="71">
        <f ca="1">VLOOKUP(Tabela1[[#This Row],[Trecho 01]],Dimensionamento!A:T,18)</f>
        <v>21.017551444740775</v>
      </c>
      <c r="E39" s="71">
        <f ca="1">VLOOKUP(Tabela1[[#This Row],[Trecho 02]],Dimensionamento!A:T,18)</f>
        <v>21.202446214106658</v>
      </c>
      <c r="F39" s="71">
        <f ca="1">(Tabela1[[#This Row],[Pressão 01
 (mca)]]+Tabela1[[#This Row],[Pressão 02
 (mca)]])/2</f>
        <v>21.109998829423716</v>
      </c>
      <c r="G39" s="71">
        <f ca="1">ABS(Tabela1[[#This Row],[Pressão 01
 (mca)]]-Tabela1[[#This Row],[Pressão 02
 (mca)]])</f>
        <v>0.18489476936588289</v>
      </c>
      <c r="H39" s="73">
        <f ca="1">(Tabela1[[#This Row],[Diferença (mca)]]/Tabela1[[#This Row],[Pressão Média
(mca)]])*100</f>
        <v>0.87586347521806263</v>
      </c>
    </row>
    <row r="40" spans="1:8" x14ac:dyDescent="0.2">
      <c r="A40" s="78" t="s">
        <v>100</v>
      </c>
      <c r="B40" s="17">
        <v>112</v>
      </c>
      <c r="C40" s="17">
        <v>115</v>
      </c>
      <c r="D40" s="71">
        <f ca="1">VLOOKUP(Tabela1[[#This Row],[Trecho 01]],Dimensionamento!A:T,18)</f>
        <v>22.758409007137971</v>
      </c>
      <c r="E40" s="71">
        <f ca="1">VLOOKUP(Tabela1[[#This Row],[Trecho 02]],Dimensionamento!A:T,18)</f>
        <v>22.943303776503853</v>
      </c>
      <c r="F40" s="71">
        <f ca="1">(Tabela1[[#This Row],[Pressão 01
 (mca)]]+Tabela1[[#This Row],[Pressão 02
 (mca)]])/2</f>
        <v>22.850856391820912</v>
      </c>
      <c r="G40" s="71">
        <f ca="1">ABS(Tabela1[[#This Row],[Pressão 01
 (mca)]]-Tabela1[[#This Row],[Pressão 02
 (mca)]])</f>
        <v>0.18489476936588289</v>
      </c>
      <c r="H40" s="73">
        <f ca="1">(Tabela1[[#This Row],[Diferença (mca)]]/Tabela1[[#This Row],[Pressão Média
(mca)]])*100</f>
        <v>0.80913715527993479</v>
      </c>
    </row>
    <row r="41" spans="1:8" x14ac:dyDescent="0.2">
      <c r="A41" s="78" t="s">
        <v>101</v>
      </c>
      <c r="B41" s="17">
        <v>95</v>
      </c>
      <c r="C41" s="17">
        <v>116</v>
      </c>
      <c r="D41" s="71">
        <f ca="1">VLOOKUP(Tabela1[[#This Row],[Trecho 01]],Dimensionamento!A:T,18)</f>
        <v>22.840473122131016</v>
      </c>
      <c r="E41" s="71">
        <f ca="1">VLOOKUP(Tabela1[[#This Row],[Trecho 02]],Dimensionamento!A:T,18)</f>
        <v>23.555325204679889</v>
      </c>
      <c r="F41" s="71">
        <f ca="1">(Tabela1[[#This Row],[Pressão 01
 (mca)]]+Tabela1[[#This Row],[Pressão 02
 (mca)]])/2</f>
        <v>23.197899163405452</v>
      </c>
      <c r="G41" s="71">
        <f ca="1">ABS(Tabela1[[#This Row],[Pressão 01
 (mca)]]-Tabela1[[#This Row],[Pressão 02
 (mca)]])</f>
        <v>0.71485208254887311</v>
      </c>
      <c r="H41" s="73">
        <f ca="1">(Tabela1[[#This Row],[Diferença (mca)]]/Tabela1[[#This Row],[Pressão Média
(mca)]])*100</f>
        <v>3.0815380199451337</v>
      </c>
    </row>
  </sheetData>
  <mergeCells count="1">
    <mergeCell ref="A1:H1"/>
  </mergeCells>
  <conditionalFormatting sqref="H3:H41">
    <cfRule type="cellIs" dxfId="13" priority="1" operator="lessThan">
      <formula>5</formula>
    </cfRule>
    <cfRule type="cellIs" dxfId="12" priority="2" operator="greaterThanOrEqual">
      <formula>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5E4E9-EFC8-4869-BB54-868EAFCB5997}">
  <sheetPr codeName="Planilha4"/>
  <dimension ref="A1:J22"/>
  <sheetViews>
    <sheetView showGridLines="0" zoomScale="130" zoomScaleNormal="130" workbookViewId="0">
      <selection activeCell="E17" sqref="E17"/>
    </sheetView>
  </sheetViews>
  <sheetFormatPr defaultColWidth="9.140625" defaultRowHeight="12.75" x14ac:dyDescent="0.2"/>
  <cols>
    <col min="1" max="1" width="16.42578125" style="18" customWidth="1"/>
    <col min="2" max="2" width="12.140625" style="18" bestFit="1" customWidth="1"/>
    <col min="3" max="4" width="9.140625" style="18"/>
    <col min="5" max="5" width="14.5703125" style="18" bestFit="1" customWidth="1"/>
    <col min="6" max="16384" width="9.140625" style="18"/>
  </cols>
  <sheetData>
    <row r="1" spans="1:10" x14ac:dyDescent="0.2">
      <c r="A1" s="115" t="s">
        <v>102</v>
      </c>
      <c r="B1" s="115"/>
      <c r="C1" s="115"/>
      <c r="E1" s="115" t="s">
        <v>103</v>
      </c>
      <c r="F1" s="115"/>
      <c r="G1" s="115"/>
    </row>
    <row r="2" spans="1:10" x14ac:dyDescent="0.2">
      <c r="A2" s="19" t="s">
        <v>104</v>
      </c>
      <c r="B2" s="35">
        <f>Dimensionamento!$S$3</f>
        <v>880.95</v>
      </c>
      <c r="C2" s="20" t="s">
        <v>7</v>
      </c>
      <c r="E2" s="21" t="s">
        <v>105</v>
      </c>
      <c r="F2" s="75">
        <f>TRUNC(((1/3)*B8*B11*B9)/1000,2)</f>
        <v>337.05</v>
      </c>
      <c r="G2" s="22" t="str">
        <f>$C$12</f>
        <v>m³</v>
      </c>
    </row>
    <row r="3" spans="1:10" x14ac:dyDescent="0.2">
      <c r="A3" s="23" t="s">
        <v>106</v>
      </c>
      <c r="B3" s="24">
        <v>6.05</v>
      </c>
      <c r="C3" s="25" t="s">
        <v>7</v>
      </c>
      <c r="E3" s="26" t="s">
        <v>107</v>
      </c>
      <c r="F3" s="18">
        <f>TRUNC(B12*F2,2)</f>
        <v>67.41</v>
      </c>
      <c r="G3" s="27" t="str">
        <f>$C$12</f>
        <v>m³</v>
      </c>
    </row>
    <row r="4" spans="1:10" x14ac:dyDescent="0.2">
      <c r="A4" s="23" t="s">
        <v>9</v>
      </c>
      <c r="B4" s="34">
        <f>Dimensionamento!O5</f>
        <v>10.5</v>
      </c>
      <c r="C4" s="25" t="s">
        <v>7</v>
      </c>
      <c r="E4" s="28" t="s">
        <v>108</v>
      </c>
      <c r="F4" s="76">
        <f>TRUNC(F2-F3,2)</f>
        <v>269.64</v>
      </c>
      <c r="G4" s="29" t="str">
        <f>$C$12</f>
        <v>m³</v>
      </c>
    </row>
    <row r="5" spans="1:10" x14ac:dyDescent="0.2">
      <c r="A5" s="23" t="s">
        <v>109</v>
      </c>
      <c r="B5" s="24">
        <f>B3/2</f>
        <v>3.0249999999999999</v>
      </c>
      <c r="C5" s="25" t="s">
        <v>7</v>
      </c>
      <c r="E5" s="116" t="s">
        <v>110</v>
      </c>
      <c r="F5" s="117"/>
      <c r="G5" s="118"/>
    </row>
    <row r="6" spans="1:10" x14ac:dyDescent="0.2">
      <c r="A6" s="23" t="s">
        <v>111</v>
      </c>
      <c r="B6" s="34">
        <f>Dimensionamento!S4</f>
        <v>893.79000000000008</v>
      </c>
      <c r="C6" s="25" t="s">
        <v>7</v>
      </c>
      <c r="E6" s="21" t="s">
        <v>112</v>
      </c>
      <c r="F6" s="75">
        <f>TRUNC(B5-F7,2)</f>
        <v>0.68</v>
      </c>
      <c r="G6" s="22" t="str">
        <f t="shared" ref="G6:G11" si="0">$C$13</f>
        <v>m</v>
      </c>
    </row>
    <row r="7" spans="1:10" x14ac:dyDescent="0.2">
      <c r="A7" s="23" t="s">
        <v>113</v>
      </c>
      <c r="B7" s="34">
        <f>Dimensionamento!S5</f>
        <v>891.45</v>
      </c>
      <c r="C7" s="25" t="s">
        <v>7</v>
      </c>
      <c r="E7" s="26" t="s">
        <v>114</v>
      </c>
      <c r="F7" s="18">
        <f>TRUNC(F3*(4/(PI()*B3^2)),2)</f>
        <v>2.34</v>
      </c>
      <c r="G7" s="27" t="str">
        <f t="shared" si="0"/>
        <v>m</v>
      </c>
    </row>
    <row r="8" spans="1:10" x14ac:dyDescent="0.2">
      <c r="A8" s="23" t="s">
        <v>115</v>
      </c>
      <c r="B8" s="24">
        <f>Dimensionamento!Q3</f>
        <v>3430</v>
      </c>
      <c r="C8" s="25" t="s">
        <v>116</v>
      </c>
      <c r="E8" s="26" t="s">
        <v>117</v>
      </c>
      <c r="F8" s="44">
        <f>TRUNC(F6+F7,2)</f>
        <v>3.02</v>
      </c>
      <c r="G8" s="27" t="str">
        <f t="shared" si="0"/>
        <v>m</v>
      </c>
    </row>
    <row r="9" spans="1:10" x14ac:dyDescent="0.2">
      <c r="A9" s="23" t="s">
        <v>15</v>
      </c>
      <c r="B9" s="24">
        <f>Dimensionamento!O3</f>
        <v>1.34</v>
      </c>
      <c r="C9" s="25" t="s">
        <v>118</v>
      </c>
      <c r="E9" s="26" t="s">
        <v>119</v>
      </c>
      <c r="F9" s="44">
        <f>TRUNC(F11-F10,2)</f>
        <v>0.83</v>
      </c>
      <c r="G9" s="27" t="str">
        <f t="shared" si="0"/>
        <v>m</v>
      </c>
      <c r="J9" s="45"/>
    </row>
    <row r="10" spans="1:10" x14ac:dyDescent="0.2">
      <c r="A10" s="23" t="s">
        <v>22</v>
      </c>
      <c r="B10" s="24">
        <f>Dimensionamento!O4</f>
        <v>1.5</v>
      </c>
      <c r="C10" s="25" t="s">
        <v>118</v>
      </c>
      <c r="E10" s="26" t="s">
        <v>120</v>
      </c>
      <c r="F10" s="18">
        <f>TRUNC(F4*(4/(PI()*B3^2)),2)</f>
        <v>9.3699999999999992</v>
      </c>
      <c r="G10" s="27" t="str">
        <f t="shared" si="0"/>
        <v>m</v>
      </c>
    </row>
    <row r="11" spans="1:10" x14ac:dyDescent="0.2">
      <c r="A11" s="23" t="s">
        <v>23</v>
      </c>
      <c r="B11" s="24">
        <f>Dimensionamento!Q4</f>
        <v>220</v>
      </c>
      <c r="C11" s="25" t="s">
        <v>121</v>
      </c>
      <c r="E11" s="28" t="s">
        <v>122</v>
      </c>
      <c r="F11" s="76">
        <f>B4-B13*2</f>
        <v>10.199999999999999</v>
      </c>
      <c r="G11" s="29" t="str">
        <f t="shared" si="0"/>
        <v>m</v>
      </c>
    </row>
    <row r="12" spans="1:10" x14ac:dyDescent="0.2">
      <c r="A12" s="23" t="s">
        <v>123</v>
      </c>
      <c r="B12" s="30">
        <v>0.2</v>
      </c>
      <c r="C12" s="25" t="s">
        <v>124</v>
      </c>
    </row>
    <row r="13" spans="1:10" x14ac:dyDescent="0.2">
      <c r="A13" s="31" t="s">
        <v>125</v>
      </c>
      <c r="B13" s="32">
        <v>0.15</v>
      </c>
      <c r="C13" s="33" t="s">
        <v>7</v>
      </c>
    </row>
    <row r="22" spans="6:6" x14ac:dyDescent="0.2">
      <c r="F22" s="44"/>
    </row>
  </sheetData>
  <mergeCells count="3">
    <mergeCell ref="E1:G1"/>
    <mergeCell ref="A1:C1"/>
    <mergeCell ref="E5:G5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29472-187E-418B-88F6-D045563272F5}">
  <sheetPr codeName="Planilha2"/>
  <dimension ref="A1:G25"/>
  <sheetViews>
    <sheetView showGridLines="0" zoomScaleNormal="100" workbookViewId="0">
      <selection activeCell="C27" sqref="C27"/>
    </sheetView>
  </sheetViews>
  <sheetFormatPr defaultRowHeight="12.75" x14ac:dyDescent="0.2"/>
  <cols>
    <col min="1" max="1" width="13.85546875" customWidth="1"/>
    <col min="2" max="2" width="14.7109375" customWidth="1"/>
    <col min="3" max="3" width="14" customWidth="1"/>
    <col min="7" max="7" width="9.5703125" bestFit="1" customWidth="1"/>
  </cols>
  <sheetData>
    <row r="1" spans="1:7" x14ac:dyDescent="0.2">
      <c r="A1" s="40" t="s">
        <v>126</v>
      </c>
      <c r="B1" s="40" t="s">
        <v>5</v>
      </c>
      <c r="C1" s="42" t="s">
        <v>127</v>
      </c>
    </row>
    <row r="2" spans="1:7" x14ac:dyDescent="0.2">
      <c r="A2" s="41">
        <v>50</v>
      </c>
      <c r="B2" s="39">
        <v>1.0900000000000001</v>
      </c>
      <c r="C2" s="39">
        <v>0.78</v>
      </c>
    </row>
    <row r="3" spans="1:7" x14ac:dyDescent="0.2">
      <c r="A3" s="41">
        <v>75</v>
      </c>
      <c r="B3" s="39">
        <v>3.17</v>
      </c>
      <c r="C3" s="39">
        <v>2.27</v>
      </c>
    </row>
    <row r="4" spans="1:7" x14ac:dyDescent="0.2">
      <c r="A4" s="41">
        <v>100</v>
      </c>
      <c r="B4" s="39">
        <v>6.76</v>
      </c>
      <c r="C4" s="39">
        <v>4.83</v>
      </c>
    </row>
    <row r="5" spans="1:7" x14ac:dyDescent="0.2">
      <c r="A5" s="41">
        <v>125</v>
      </c>
      <c r="B5" s="39">
        <v>12.15</v>
      </c>
      <c r="C5" s="39">
        <v>8.68</v>
      </c>
    </row>
    <row r="6" spans="1:7" x14ac:dyDescent="0.2">
      <c r="A6" s="41">
        <v>150</v>
      </c>
      <c r="B6" s="39">
        <v>19.63</v>
      </c>
      <c r="C6" s="39">
        <v>14.02</v>
      </c>
    </row>
    <row r="7" spans="1:7" x14ac:dyDescent="0.2">
      <c r="A7" s="41">
        <v>200</v>
      </c>
      <c r="B7" s="39">
        <v>41.84</v>
      </c>
      <c r="C7" s="39">
        <v>29.88</v>
      </c>
    </row>
    <row r="8" spans="1:7" x14ac:dyDescent="0.2">
      <c r="A8" s="41">
        <v>250</v>
      </c>
      <c r="B8" s="39">
        <v>75.239999999999995</v>
      </c>
      <c r="C8" s="39">
        <v>53.74</v>
      </c>
    </row>
    <row r="9" spans="1:7" x14ac:dyDescent="0.2">
      <c r="A9" s="41">
        <v>300</v>
      </c>
      <c r="B9" s="39">
        <v>121.53</v>
      </c>
      <c r="C9" s="39">
        <v>86.81</v>
      </c>
    </row>
    <row r="10" spans="1:7" x14ac:dyDescent="0.2">
      <c r="A10" s="41">
        <v>325</v>
      </c>
      <c r="B10" s="39">
        <v>150.01</v>
      </c>
      <c r="C10" s="39">
        <v>107.15</v>
      </c>
    </row>
    <row r="11" spans="1:7" x14ac:dyDescent="0.2">
      <c r="A11" s="41">
        <v>350</v>
      </c>
      <c r="B11" s="39">
        <v>182.29</v>
      </c>
      <c r="C11" s="39">
        <v>130.21</v>
      </c>
      <c r="G11" s="46"/>
    </row>
    <row r="12" spans="1:7" x14ac:dyDescent="0.2">
      <c r="A12" s="41">
        <v>400</v>
      </c>
      <c r="B12" s="39">
        <v>258.99</v>
      </c>
      <c r="C12" s="39">
        <v>184.99</v>
      </c>
      <c r="G12" s="46"/>
    </row>
    <row r="13" spans="1:7" x14ac:dyDescent="0.2">
      <c r="G13" s="46"/>
    </row>
    <row r="14" spans="1:7" x14ac:dyDescent="0.2">
      <c r="A14" s="40" t="s">
        <v>128</v>
      </c>
      <c r="G14" s="46"/>
    </row>
    <row r="15" spans="1:7" x14ac:dyDescent="0.2">
      <c r="A15" s="47" t="s">
        <v>52</v>
      </c>
      <c r="G15" s="46"/>
    </row>
    <row r="16" spans="1:7" x14ac:dyDescent="0.2">
      <c r="A16" s="47" t="s">
        <v>51</v>
      </c>
      <c r="G16" s="46"/>
    </row>
    <row r="17" spans="1:3" x14ac:dyDescent="0.2">
      <c r="A17" s="47" t="s">
        <v>49</v>
      </c>
    </row>
    <row r="19" spans="1:3" s="98" customFormat="1" ht="26.45" customHeight="1" x14ac:dyDescent="0.2">
      <c r="A19" s="119" t="s">
        <v>129</v>
      </c>
      <c r="B19" s="119"/>
    </row>
    <row r="20" spans="1:3" x14ac:dyDescent="0.2">
      <c r="A20" s="60">
        <v>1050</v>
      </c>
      <c r="B20" s="61" t="s">
        <v>130</v>
      </c>
    </row>
    <row r="21" spans="1:3" x14ac:dyDescent="0.2">
      <c r="A21" s="60">
        <f>A20/100</f>
        <v>10.5</v>
      </c>
      <c r="B21" s="61" t="s">
        <v>7</v>
      </c>
    </row>
    <row r="23" spans="1:3" ht="26.45" customHeight="1" x14ac:dyDescent="0.2">
      <c r="A23" s="120" t="s">
        <v>131</v>
      </c>
      <c r="B23" s="121"/>
      <c r="C23" s="121"/>
    </row>
    <row r="24" spans="1:3" x14ac:dyDescent="0.2">
      <c r="A24" s="68" t="s">
        <v>132</v>
      </c>
      <c r="B24" s="68" t="s">
        <v>133</v>
      </c>
      <c r="C24" s="68" t="s">
        <v>134</v>
      </c>
    </row>
    <row r="25" spans="1:3" x14ac:dyDescent="0.2">
      <c r="A25" s="69">
        <v>1.5</v>
      </c>
      <c r="B25" s="69">
        <v>1.2</v>
      </c>
      <c r="C25" s="69">
        <v>2.1</v>
      </c>
    </row>
  </sheetData>
  <mergeCells count="2">
    <mergeCell ref="A19:B19"/>
    <mergeCell ref="A23:C2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be8a99d-fbc2-40bc-9e9f-62aaeca1223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1A7A0A390F20E4A86E042E0F8C90B03" ma:contentTypeVersion="18" ma:contentTypeDescription="Crie um novo documento." ma:contentTypeScope="" ma:versionID="9b1f739ea79b0b2d3bc8847fb8291a63">
  <xsd:schema xmlns:xsd="http://www.w3.org/2001/XMLSchema" xmlns:xs="http://www.w3.org/2001/XMLSchema" xmlns:p="http://schemas.microsoft.com/office/2006/metadata/properties" xmlns:ns3="6da81390-3e01-421a-a72d-acfac266b6dc" xmlns:ns4="2be8a99d-fbc2-40bc-9e9f-62aaeca12232" targetNamespace="http://schemas.microsoft.com/office/2006/metadata/properties" ma:root="true" ma:fieldsID="74cdda882ab7d22d62a8fafb648b6ce6" ns3:_="" ns4:_="">
    <xsd:import namespace="6da81390-3e01-421a-a72d-acfac266b6dc"/>
    <xsd:import namespace="2be8a99d-fbc2-40bc-9e9f-62aaeca1223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ServiceOCR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a81390-3e01-421a-a72d-acfac266b6d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e8a99d-fbc2-40bc-9e9f-62aaeca122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98E61F-CF35-4F56-A52C-A9DDC60ECC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8DD850-8F7C-414B-BF96-DAD144BDE9E5}">
  <ds:schemaRefs>
    <ds:schemaRef ds:uri="http://schemas.microsoft.com/office/2006/metadata/properties"/>
    <ds:schemaRef ds:uri="http://schemas.microsoft.com/office/infopath/2007/PartnerControls"/>
    <ds:schemaRef ds:uri="2be8a99d-fbc2-40bc-9e9f-62aaeca12232"/>
  </ds:schemaRefs>
</ds:datastoreItem>
</file>

<file path=customXml/itemProps3.xml><?xml version="1.0" encoding="utf-8"?>
<ds:datastoreItem xmlns:ds="http://schemas.openxmlformats.org/officeDocument/2006/customXml" ds:itemID="{2DC9AC74-F0F6-4D7B-8630-59377587DD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a81390-3e01-421a-a72d-acfac266b6dc"/>
    <ds:schemaRef ds:uri="2be8a99d-fbc2-40bc-9e9f-62aaeca122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Dimensionamento</vt:lpstr>
      <vt:lpstr>VerificarPressao</vt:lpstr>
      <vt:lpstr>Reservatório</vt:lpstr>
      <vt:lpstr>Auxiliar</vt:lpstr>
      <vt:lpstr>Dimensionamento!Area_de_impressao</vt:lpstr>
      <vt:lpstr>Dimensionamento!Titulos_de_impressao</vt:lpstr>
    </vt:vector>
  </TitlesOfParts>
  <Manager/>
  <Company>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Phelipe Viana Ruiz</dc:creator>
  <cp:keywords/>
  <dc:description/>
  <cp:lastModifiedBy>Felipe Grolla Freitas</cp:lastModifiedBy>
  <cp:revision/>
  <dcterms:created xsi:type="dcterms:W3CDTF">2005-08-17T19:18:20Z</dcterms:created>
  <dcterms:modified xsi:type="dcterms:W3CDTF">2025-06-09T02:36:13Z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0x010100B1A7A0A390F20E4A86E042E0F8C90B03</vt:lpwstr>
  </property>
</Properties>
</file>